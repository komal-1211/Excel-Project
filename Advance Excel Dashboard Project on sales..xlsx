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komal warang\Downloads\"/>
    </mc:Choice>
  </mc:AlternateContent>
  <xr:revisionPtr revIDLastSave="0" documentId="13_ncr:1_{B69C11C8-BA0E-4A2C-A7A3-9FDB6F051045}"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tables" sheetId="2" r:id="rId2"/>
    <sheet name="Dashboard" sheetId="3" r:id="rId3"/>
    <sheet name="Product" sheetId="15" r:id="rId4"/>
    <sheet name="Salesman" sheetId="14" r:id="rId5"/>
    <sheet name="About" sheetId="16" r:id="rId6"/>
  </sheets>
  <definedNames>
    <definedName name="_xlnm._FilterDatabase" localSheetId="0" hidden="1">'Sales Data'!$A$1:$H$251</definedName>
    <definedName name="NativeTimeline_Date">#N/A</definedName>
    <definedName name="Slicer_Item">#N/A</definedName>
    <definedName name="Slicer_Region">#N/A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 l="1"/>
  <c r="E13" i="2"/>
</calcChain>
</file>

<file path=xl/sharedStrings.xml><?xml version="1.0" encoding="utf-8"?>
<sst xmlns="http://schemas.openxmlformats.org/spreadsheetml/2006/main" count="834" uniqueCount="40">
  <si>
    <t>S No.</t>
  </si>
  <si>
    <t>Date</t>
  </si>
  <si>
    <t>Salesman</t>
  </si>
  <si>
    <t>Region</t>
  </si>
  <si>
    <t>Item</t>
  </si>
  <si>
    <t>Qty</t>
  </si>
  <si>
    <t>Price</t>
  </si>
  <si>
    <t>Amount</t>
  </si>
  <si>
    <t>Siddhu</t>
  </si>
  <si>
    <t>East</t>
  </si>
  <si>
    <t>Mouse</t>
  </si>
  <si>
    <t>Ramesh</t>
  </si>
  <si>
    <t>West</t>
  </si>
  <si>
    <t>Printer</t>
  </si>
  <si>
    <t>Keyboard</t>
  </si>
  <si>
    <t>Chandu</t>
  </si>
  <si>
    <t>Speaker</t>
  </si>
  <si>
    <t>Ajit Kumar</t>
  </si>
  <si>
    <t>Rohit Das</t>
  </si>
  <si>
    <t>South</t>
  </si>
  <si>
    <t>North</t>
  </si>
  <si>
    <t>Monitor</t>
  </si>
  <si>
    <t>Amit</t>
  </si>
  <si>
    <t>Scanner</t>
  </si>
  <si>
    <t>Row Labels</t>
  </si>
  <si>
    <t>Grand Total</t>
  </si>
  <si>
    <t>Sum of Amount</t>
  </si>
  <si>
    <t>Sum of Qty</t>
  </si>
  <si>
    <t>Count of S No.</t>
  </si>
  <si>
    <t>Average of Amount</t>
  </si>
  <si>
    <t>Jan</t>
  </si>
  <si>
    <t>Feb</t>
  </si>
  <si>
    <t>Mar</t>
  </si>
  <si>
    <t>Apr</t>
  </si>
  <si>
    <t>May</t>
  </si>
  <si>
    <t>Jun</t>
  </si>
  <si>
    <t>Jul</t>
  </si>
  <si>
    <t>Aug</t>
  </si>
  <si>
    <t>Sep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</si>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</sst>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0" fillId="0" borderId="0" xfId="0" applyNumberFormat="1"/>
  </cellXfs>
  <cellStyles count="1">
    <cellStyle name="Normal" xfId="0" builtinId="0"/>
  </cellStyles>
  <dxfs count="12">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dd\-mm\-yyyy"/>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c:f>
              <c:strCache>
                <c:ptCount val="1"/>
                <c:pt idx="0">
                  <c:v>Total</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'Pivot tables'!$A$22:$A$31</c:f>
              <c:strCache>
                <c:ptCount val="9"/>
                <c:pt idx="0">
                  <c:v>Jan</c:v>
                </c:pt>
                <c:pt idx="1">
                  <c:v>Feb</c:v>
                </c:pt>
                <c:pt idx="2">
                  <c:v>Mar</c:v>
                </c:pt>
                <c:pt idx="3">
                  <c:v>Apr</c:v>
                </c:pt>
                <c:pt idx="4">
                  <c:v>May</c:v>
                </c:pt>
                <c:pt idx="5">
                  <c:v>Jun</c:v>
                </c:pt>
                <c:pt idx="6">
                  <c:v>Jul</c:v>
                </c:pt>
                <c:pt idx="7">
                  <c:v>Aug</c:v>
                </c:pt>
                <c:pt idx="8">
                  <c:v>Sep</c:v>
                </c:pt>
              </c:strCache>
            </c:strRef>
          </c:cat>
          <c:val>
            <c:numRef>
              <c:f>'Pivot tables'!$B$22:$B$31</c:f>
              <c:numCache>
                <c:formatCode>General</c:formatCode>
                <c:ptCount val="9"/>
                <c:pt idx="0">
                  <c:v>98120</c:v>
                </c:pt>
                <c:pt idx="1">
                  <c:v>81240</c:v>
                </c:pt>
                <c:pt idx="2">
                  <c:v>107110</c:v>
                </c:pt>
                <c:pt idx="3">
                  <c:v>118750</c:v>
                </c:pt>
                <c:pt idx="4">
                  <c:v>112810</c:v>
                </c:pt>
                <c:pt idx="5">
                  <c:v>132690</c:v>
                </c:pt>
                <c:pt idx="6">
                  <c:v>102220</c:v>
                </c:pt>
                <c:pt idx="7">
                  <c:v>103320</c:v>
                </c:pt>
                <c:pt idx="8">
                  <c:v>25380</c:v>
                </c:pt>
              </c:numCache>
            </c:numRef>
          </c:val>
          <c:smooth val="0"/>
          <c:extLst>
            <c:ext xmlns:c16="http://schemas.microsoft.com/office/drawing/2014/chart" uri="{C3380CC4-5D6E-409C-BE32-E72D297353CC}">
              <c16:uniqueId val="{00000000-39F9-43E8-97E4-366C64FEB554}"/>
            </c:ext>
          </c:extLst>
        </c:ser>
        <c:dLbls>
          <c:showLegendKey val="0"/>
          <c:showVal val="0"/>
          <c:showCatName val="0"/>
          <c:showSerName val="0"/>
          <c:showPercent val="0"/>
          <c:showBubbleSize val="0"/>
        </c:dLbls>
        <c:smooth val="0"/>
        <c:axId val="1885520559"/>
        <c:axId val="1764296591"/>
      </c:lineChart>
      <c:catAx>
        <c:axId val="18855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296591"/>
        <c:crosses val="autoZero"/>
        <c:auto val="1"/>
        <c:lblAlgn val="ctr"/>
        <c:lblOffset val="100"/>
        <c:noMultiLvlLbl val="0"/>
      </c:catAx>
      <c:valAx>
        <c:axId val="176429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187630</c:v>
                </c:pt>
                <c:pt idx="1">
                  <c:v>257790</c:v>
                </c:pt>
                <c:pt idx="2">
                  <c:v>239590</c:v>
                </c:pt>
                <c:pt idx="3">
                  <c:v>196630</c:v>
                </c:pt>
              </c:numCache>
            </c:numRef>
          </c:val>
          <c:extLst>
            <c:ext xmlns:c16="http://schemas.microsoft.com/office/drawing/2014/chart" uri="{C3380CC4-5D6E-409C-BE32-E72D297353CC}">
              <c16:uniqueId val="{00000000-293A-4072-90E2-E912DEF0E1B7}"/>
            </c:ext>
          </c:extLst>
        </c:ser>
        <c:dLbls>
          <c:dLblPos val="outEnd"/>
          <c:showLegendKey val="0"/>
          <c:showVal val="1"/>
          <c:showCatName val="0"/>
          <c:showSerName val="0"/>
          <c:showPercent val="0"/>
          <c:showBubbleSize val="0"/>
        </c:dLbls>
        <c:gapWidth val="219"/>
        <c:overlap val="-27"/>
        <c:axId val="1885580415"/>
        <c:axId val="1764266831"/>
      </c:barChart>
      <c:catAx>
        <c:axId val="188558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266831"/>
        <c:crosses val="autoZero"/>
        <c:auto val="1"/>
        <c:lblAlgn val="ctr"/>
        <c:lblOffset val="100"/>
        <c:noMultiLvlLbl val="0"/>
      </c:catAx>
      <c:valAx>
        <c:axId val="1764266831"/>
        <c:scaling>
          <c:orientation val="minMax"/>
        </c:scaling>
        <c:delete val="1"/>
        <c:axPos val="l"/>
        <c:numFmt formatCode="General" sourceLinked="1"/>
        <c:majorTickMark val="none"/>
        <c:minorTickMark val="none"/>
        <c:tickLblPos val="nextTo"/>
        <c:crossAx val="188558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tables!PivotTable2</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b="1"/>
              <a:t>Sales</a:t>
            </a:r>
            <a:r>
              <a:rPr lang="en-US" b="1" baseline="0"/>
              <a:t> by product </a:t>
            </a:r>
            <a:endParaRPr lang="en-US" b="1"/>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Keyboard</c:v>
                </c:pt>
                <c:pt idx="1">
                  <c:v>Monitor</c:v>
                </c:pt>
                <c:pt idx="2">
                  <c:v>Mouse</c:v>
                </c:pt>
                <c:pt idx="3">
                  <c:v>Printer</c:v>
                </c:pt>
                <c:pt idx="4">
                  <c:v>Scanner</c:v>
                </c:pt>
                <c:pt idx="5">
                  <c:v>Speaker</c:v>
                </c:pt>
              </c:strCache>
            </c:strRef>
          </c:cat>
          <c:val>
            <c:numRef>
              <c:f>'Pivot tables'!$E$4:$E$10</c:f>
              <c:numCache>
                <c:formatCode>0.00%</c:formatCode>
                <c:ptCount val="6"/>
                <c:pt idx="0">
                  <c:v>5.1075268817204304E-2</c:v>
                </c:pt>
                <c:pt idx="1">
                  <c:v>0.17149857084524295</c:v>
                </c:pt>
                <c:pt idx="2">
                  <c:v>4.7876684360963657E-2</c:v>
                </c:pt>
                <c:pt idx="3">
                  <c:v>0.35728868926092283</c:v>
                </c:pt>
                <c:pt idx="4">
                  <c:v>0.30965019735946647</c:v>
                </c:pt>
                <c:pt idx="5">
                  <c:v>6.2610589356199814E-2</c:v>
                </c:pt>
              </c:numCache>
            </c:numRef>
          </c:val>
          <c:extLst>
            <c:ext xmlns:c16="http://schemas.microsoft.com/office/drawing/2014/chart" uri="{C3380CC4-5D6E-409C-BE32-E72D297353CC}">
              <c16:uniqueId val="{00000000-46E5-4EF5-AE25-AA72537A3CE7}"/>
            </c:ext>
          </c:extLst>
        </c:ser>
        <c:dLbls>
          <c:dLblPos val="outEnd"/>
          <c:showLegendKey val="0"/>
          <c:showVal val="1"/>
          <c:showCatName val="0"/>
          <c:showSerName val="0"/>
          <c:showPercent val="0"/>
          <c:showBubbleSize val="0"/>
        </c:dLbls>
        <c:gapWidth val="182"/>
        <c:axId val="1468877040"/>
        <c:axId val="1671076880"/>
      </c:barChart>
      <c:catAx>
        <c:axId val="146887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76880"/>
        <c:crosses val="autoZero"/>
        <c:auto val="1"/>
        <c:lblAlgn val="ctr"/>
        <c:lblOffset val="100"/>
        <c:noMultiLvlLbl val="0"/>
      </c:catAx>
      <c:valAx>
        <c:axId val="1671076880"/>
        <c:scaling>
          <c:orientation val="minMax"/>
        </c:scaling>
        <c:delete val="1"/>
        <c:axPos val="b"/>
        <c:numFmt formatCode="0.00%" sourceLinked="1"/>
        <c:majorTickMark val="none"/>
        <c:minorTickMark val="none"/>
        <c:tickLblPos val="nextTo"/>
        <c:crossAx val="146887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2963239362971"/>
          <c:y val="0.26493624772313301"/>
          <c:w val="0.8042093746985689"/>
          <c:h val="0.63488160291438989"/>
        </c:manualLayout>
      </c:layout>
      <c:barChart>
        <c:barDir val="bar"/>
        <c:grouping val="clustered"/>
        <c:varyColors val="0"/>
        <c:ser>
          <c:idx val="0"/>
          <c:order val="0"/>
          <c:tx>
            <c:strRef>
              <c:f>'Pivot tables'!$E$21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tables'!$D$22:$D$25</c:f>
              <c:strCache>
                <c:ptCount val="3"/>
                <c:pt idx="0">
                  <c:v>Keyboard</c:v>
                </c:pt>
                <c:pt idx="1">
                  <c:v>Mouse</c:v>
                </c:pt>
                <c:pt idx="2">
                  <c:v>Speaker</c:v>
                </c:pt>
              </c:strCache>
            </c:strRef>
          </c:cat>
          <c:val>
            <c:numRef>
              <c:f>'Pivot tables'!$E$22:$E$25</c:f>
              <c:numCache>
                <c:formatCode>General</c:formatCode>
                <c:ptCount val="3"/>
                <c:pt idx="0">
                  <c:v>237</c:v>
                </c:pt>
                <c:pt idx="1">
                  <c:v>201</c:v>
                </c:pt>
                <c:pt idx="2">
                  <c:v>184</c:v>
                </c:pt>
              </c:numCache>
            </c:numRef>
          </c:val>
          <c:extLst>
            <c:ext xmlns:c16="http://schemas.microsoft.com/office/drawing/2014/chart" uri="{C3380CC4-5D6E-409C-BE32-E72D297353CC}">
              <c16:uniqueId val="{00000000-CE99-4910-ADFC-B1B77B957A46}"/>
            </c:ext>
          </c:extLst>
        </c:ser>
        <c:dLbls>
          <c:dLblPos val="outEnd"/>
          <c:showLegendKey val="0"/>
          <c:showVal val="1"/>
          <c:showCatName val="0"/>
          <c:showSerName val="0"/>
          <c:showPercent val="0"/>
          <c:showBubbleSize val="0"/>
        </c:dLbls>
        <c:gapWidth val="182"/>
        <c:axId val="1918293359"/>
        <c:axId val="1764319151"/>
      </c:barChart>
      <c:catAx>
        <c:axId val="191829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19151"/>
        <c:crosses val="autoZero"/>
        <c:auto val="1"/>
        <c:lblAlgn val="ctr"/>
        <c:lblOffset val="100"/>
        <c:noMultiLvlLbl val="0"/>
      </c:catAx>
      <c:valAx>
        <c:axId val="1764319151"/>
        <c:scaling>
          <c:orientation val="minMax"/>
        </c:scaling>
        <c:delete val="1"/>
        <c:axPos val="b"/>
        <c:numFmt formatCode="General" sourceLinked="1"/>
        <c:majorTickMark val="none"/>
        <c:minorTickMark val="none"/>
        <c:tickLblPos val="nextTo"/>
        <c:crossAx val="191829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tables'!$A$13:$A$19</c:f>
              <c:strCache>
                <c:ptCount val="6"/>
                <c:pt idx="0">
                  <c:v>Keyboard</c:v>
                </c:pt>
                <c:pt idx="1">
                  <c:v>Monitor</c:v>
                </c:pt>
                <c:pt idx="2">
                  <c:v>Mouse</c:v>
                </c:pt>
                <c:pt idx="3">
                  <c:v>Printer</c:v>
                </c:pt>
                <c:pt idx="4">
                  <c:v>Scanner</c:v>
                </c:pt>
                <c:pt idx="5">
                  <c:v>Speaker</c:v>
                </c:pt>
              </c:strCache>
            </c:strRef>
          </c:cat>
          <c:val>
            <c:numRef>
              <c:f>'Pivot tables'!$B$13:$B$19</c:f>
              <c:numCache>
                <c:formatCode>General</c:formatCode>
                <c:ptCount val="6"/>
                <c:pt idx="0">
                  <c:v>237</c:v>
                </c:pt>
                <c:pt idx="1">
                  <c:v>126</c:v>
                </c:pt>
                <c:pt idx="2">
                  <c:v>201</c:v>
                </c:pt>
                <c:pt idx="3">
                  <c:v>150</c:v>
                </c:pt>
                <c:pt idx="4">
                  <c:v>182</c:v>
                </c:pt>
                <c:pt idx="5">
                  <c:v>184</c:v>
                </c:pt>
              </c:numCache>
            </c:numRef>
          </c:val>
          <c:extLst>
            <c:ext xmlns:c16="http://schemas.microsoft.com/office/drawing/2014/chart" uri="{C3380CC4-5D6E-409C-BE32-E72D297353CC}">
              <c16:uniqueId val="{00000000-45D5-4EE1-875A-E648E26F6C26}"/>
            </c:ext>
          </c:extLst>
        </c:ser>
        <c:dLbls>
          <c:dLblPos val="outEnd"/>
          <c:showLegendKey val="0"/>
          <c:showVal val="1"/>
          <c:showCatName val="0"/>
          <c:showSerName val="0"/>
          <c:showPercent val="0"/>
          <c:showBubbleSize val="0"/>
        </c:dLbls>
        <c:gapWidth val="182"/>
        <c:axId val="1885572527"/>
        <c:axId val="1764267791"/>
      </c:barChart>
      <c:catAx>
        <c:axId val="188557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267791"/>
        <c:crosses val="autoZero"/>
        <c:auto val="1"/>
        <c:lblAlgn val="ctr"/>
        <c:lblOffset val="100"/>
        <c:noMultiLvlLbl val="0"/>
      </c:catAx>
      <c:valAx>
        <c:axId val="1764267791"/>
        <c:scaling>
          <c:orientation val="minMax"/>
        </c:scaling>
        <c:delete val="1"/>
        <c:axPos val="l"/>
        <c:numFmt formatCode="General" sourceLinked="1"/>
        <c:majorTickMark val="out"/>
        <c:minorTickMark val="none"/>
        <c:tickLblPos val="nextTo"/>
        <c:crossAx val="188557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tables!PivotTable13</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sz="1400" b="0" i="0" u="none" strike="noStrike" kern="1200" spc="0" baseline="0">
                <a:solidFill>
                  <a:sysClr val="windowText" lastClr="000000">
                    <a:lumMod val="65000"/>
                    <a:lumOff val="35000"/>
                  </a:sysClr>
                </a:solidFill>
              </a:rPr>
              <a:t>Bottom 3 Selling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8054714314557"/>
          <c:y val="0.29414893617021276"/>
          <c:w val="0.82056304260044421"/>
          <c:h val="0.60833333333333339"/>
        </c:manualLayout>
      </c:layout>
      <c:barChart>
        <c:barDir val="bar"/>
        <c:grouping val="clustered"/>
        <c:varyColors val="0"/>
        <c:ser>
          <c:idx val="0"/>
          <c:order val="0"/>
          <c:tx>
            <c:strRef>
              <c:f>'Pivot tables'!$E$31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tables'!$D$32:$D$35</c:f>
              <c:strCache>
                <c:ptCount val="3"/>
                <c:pt idx="0">
                  <c:v>Monitor</c:v>
                </c:pt>
                <c:pt idx="1">
                  <c:v>Printer</c:v>
                </c:pt>
                <c:pt idx="2">
                  <c:v>Scanner</c:v>
                </c:pt>
              </c:strCache>
            </c:strRef>
          </c:cat>
          <c:val>
            <c:numRef>
              <c:f>'Pivot tables'!$E$32:$E$35</c:f>
              <c:numCache>
                <c:formatCode>General</c:formatCode>
                <c:ptCount val="3"/>
                <c:pt idx="0">
                  <c:v>126</c:v>
                </c:pt>
                <c:pt idx="1">
                  <c:v>150</c:v>
                </c:pt>
                <c:pt idx="2">
                  <c:v>182</c:v>
                </c:pt>
              </c:numCache>
            </c:numRef>
          </c:val>
          <c:extLst>
            <c:ext xmlns:c16="http://schemas.microsoft.com/office/drawing/2014/chart" uri="{C3380CC4-5D6E-409C-BE32-E72D297353CC}">
              <c16:uniqueId val="{00000000-5225-4371-8EAA-594E5C0909AB}"/>
            </c:ext>
          </c:extLst>
        </c:ser>
        <c:dLbls>
          <c:dLblPos val="outEnd"/>
          <c:showLegendKey val="0"/>
          <c:showVal val="1"/>
          <c:showCatName val="0"/>
          <c:showSerName val="0"/>
          <c:showPercent val="0"/>
          <c:showBubbleSize val="0"/>
        </c:dLbls>
        <c:gapWidth val="182"/>
        <c:axId val="1863449648"/>
        <c:axId val="1684846672"/>
      </c:barChart>
      <c:catAx>
        <c:axId val="186344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46672"/>
        <c:crosses val="autoZero"/>
        <c:auto val="1"/>
        <c:lblAlgn val="ctr"/>
        <c:lblOffset val="100"/>
        <c:noMultiLvlLbl val="0"/>
      </c:catAx>
      <c:valAx>
        <c:axId val="1684846672"/>
        <c:scaling>
          <c:orientation val="minMax"/>
        </c:scaling>
        <c:delete val="1"/>
        <c:axPos val="b"/>
        <c:numFmt formatCode="General" sourceLinked="1"/>
        <c:majorTickMark val="none"/>
        <c:minorTickMark val="none"/>
        <c:tickLblPos val="nextTo"/>
        <c:crossAx val="18634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3 Performing Selesman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8494545048406"/>
          <c:y val="0.24015957446808511"/>
          <c:w val="0.80435406164171452"/>
          <c:h val="0.66232269503546093"/>
        </c:manualLayout>
      </c:layout>
      <c:barChart>
        <c:barDir val="bar"/>
        <c:grouping val="clustered"/>
        <c:varyColors val="0"/>
        <c:ser>
          <c:idx val="0"/>
          <c:order val="0"/>
          <c:tx>
            <c:strRef>
              <c:f>'Pivot tables'!$B$36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tables'!$A$37:$A$40</c:f>
              <c:strCache>
                <c:ptCount val="3"/>
                <c:pt idx="0">
                  <c:v>Amit</c:v>
                </c:pt>
                <c:pt idx="1">
                  <c:v>Rohit Das</c:v>
                </c:pt>
                <c:pt idx="2">
                  <c:v>Siddhu</c:v>
                </c:pt>
              </c:strCache>
            </c:strRef>
          </c:cat>
          <c:val>
            <c:numRef>
              <c:f>'Pivot tables'!$B$37:$B$40</c:f>
              <c:numCache>
                <c:formatCode>General</c:formatCode>
                <c:ptCount val="3"/>
                <c:pt idx="0">
                  <c:v>176120</c:v>
                </c:pt>
                <c:pt idx="1">
                  <c:v>165950</c:v>
                </c:pt>
                <c:pt idx="2">
                  <c:v>166600</c:v>
                </c:pt>
              </c:numCache>
            </c:numRef>
          </c:val>
          <c:extLst>
            <c:ext xmlns:c16="http://schemas.microsoft.com/office/drawing/2014/chart" uri="{C3380CC4-5D6E-409C-BE32-E72D297353CC}">
              <c16:uniqueId val="{00000003-B460-46C1-8723-CE29A545144B}"/>
            </c:ext>
          </c:extLst>
        </c:ser>
        <c:dLbls>
          <c:dLblPos val="outEnd"/>
          <c:showLegendKey val="0"/>
          <c:showVal val="1"/>
          <c:showCatName val="0"/>
          <c:showSerName val="0"/>
          <c:showPercent val="0"/>
          <c:showBubbleSize val="0"/>
        </c:dLbls>
        <c:gapWidth val="182"/>
        <c:axId val="1888769231"/>
        <c:axId val="1764304271"/>
      </c:barChart>
      <c:catAx>
        <c:axId val="188876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04271"/>
        <c:crosses val="autoZero"/>
        <c:auto val="1"/>
        <c:lblAlgn val="ctr"/>
        <c:lblOffset val="100"/>
        <c:noMultiLvlLbl val="0"/>
      </c:catAx>
      <c:valAx>
        <c:axId val="1764304271"/>
        <c:scaling>
          <c:orientation val="minMax"/>
        </c:scaling>
        <c:delete val="1"/>
        <c:axPos val="b"/>
        <c:numFmt formatCode="General" sourceLinked="1"/>
        <c:majorTickMark val="none"/>
        <c:minorTickMark val="none"/>
        <c:tickLblPos val="nextTo"/>
        <c:crossAx val="188876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a:t>
            </a:r>
            <a:r>
              <a:rPr lang="en-US" b="1" baseline="0"/>
              <a:t> Poor Performing Salesman</a:t>
            </a:r>
            <a:endParaRPr lang="en-US" b="1"/>
          </a:p>
        </c:rich>
      </c:tx>
      <c:layout>
        <c:manualLayout>
          <c:xMode val="edge"/>
          <c:yMode val="edge"/>
          <c:x val="0.20344228980406795"/>
          <c:y val="8.3362867312818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6851721355843"/>
          <c:y val="0.24863247863247867"/>
          <c:w val="0.7912635191029137"/>
          <c:h val="0.65735042735042737"/>
        </c:manualLayout>
      </c:layout>
      <c:barChart>
        <c:barDir val="bar"/>
        <c:grouping val="clustered"/>
        <c:varyColors val="0"/>
        <c:ser>
          <c:idx val="0"/>
          <c:order val="0"/>
          <c:tx>
            <c:strRef>
              <c:f>'Pivot tables'!$B$45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tables'!$A$46:$A$49</c:f>
              <c:strCache>
                <c:ptCount val="3"/>
                <c:pt idx="0">
                  <c:v>Ajit Kumar</c:v>
                </c:pt>
                <c:pt idx="1">
                  <c:v>Chandu</c:v>
                </c:pt>
                <c:pt idx="2">
                  <c:v>Ramesh</c:v>
                </c:pt>
              </c:strCache>
            </c:strRef>
          </c:cat>
          <c:val>
            <c:numRef>
              <c:f>'Pivot tables'!$B$46:$B$49</c:f>
              <c:numCache>
                <c:formatCode>General</c:formatCode>
                <c:ptCount val="3"/>
                <c:pt idx="0">
                  <c:v>128560</c:v>
                </c:pt>
                <c:pt idx="1">
                  <c:v>138420</c:v>
                </c:pt>
                <c:pt idx="2">
                  <c:v>105990</c:v>
                </c:pt>
              </c:numCache>
            </c:numRef>
          </c:val>
          <c:extLst>
            <c:ext xmlns:c16="http://schemas.microsoft.com/office/drawing/2014/chart" uri="{C3380CC4-5D6E-409C-BE32-E72D297353CC}">
              <c16:uniqueId val="{00000003-FFF4-4EB6-A840-C5BC947546B2}"/>
            </c:ext>
          </c:extLst>
        </c:ser>
        <c:dLbls>
          <c:dLblPos val="outEnd"/>
          <c:showLegendKey val="0"/>
          <c:showVal val="1"/>
          <c:showCatName val="0"/>
          <c:showSerName val="0"/>
          <c:showPercent val="0"/>
          <c:showBubbleSize val="0"/>
        </c:dLbls>
        <c:gapWidth val="182"/>
        <c:axId val="1535839999"/>
        <c:axId val="1764315311"/>
      </c:barChart>
      <c:catAx>
        <c:axId val="153583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15311"/>
        <c:crosses val="autoZero"/>
        <c:auto val="1"/>
        <c:lblAlgn val="ctr"/>
        <c:lblOffset val="100"/>
        <c:noMultiLvlLbl val="0"/>
      </c:catAx>
      <c:valAx>
        <c:axId val="1764315311"/>
        <c:scaling>
          <c:orientation val="minMax"/>
        </c:scaling>
        <c:delete val="1"/>
        <c:axPos val="b"/>
        <c:numFmt formatCode="General" sourceLinked="1"/>
        <c:majorTickMark val="none"/>
        <c:minorTickMark val="none"/>
        <c:tickLblPos val="nextTo"/>
        <c:crossAx val="153583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[Salesman_Sales_Data_250_Rows.xlsx]Pivot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tables'!$D$42:$D$48</c:f>
              <c:strCache>
                <c:ptCount val="6"/>
                <c:pt idx="0">
                  <c:v>Ajit Kumar</c:v>
                </c:pt>
                <c:pt idx="1">
                  <c:v>Amit</c:v>
                </c:pt>
                <c:pt idx="2">
                  <c:v>Chandu</c:v>
                </c:pt>
                <c:pt idx="3">
                  <c:v>Ramesh</c:v>
                </c:pt>
                <c:pt idx="4">
                  <c:v>Rohit Das</c:v>
                </c:pt>
                <c:pt idx="5">
                  <c:v>Siddhu</c:v>
                </c:pt>
              </c:strCache>
            </c:strRef>
          </c:cat>
          <c:val>
            <c:numRef>
              <c:f>'Pivot tables'!$E$42:$E$48</c:f>
              <c:numCache>
                <c:formatCode>General</c:formatCode>
                <c:ptCount val="6"/>
                <c:pt idx="0">
                  <c:v>128560</c:v>
                </c:pt>
                <c:pt idx="1">
                  <c:v>176120</c:v>
                </c:pt>
                <c:pt idx="2">
                  <c:v>138420</c:v>
                </c:pt>
                <c:pt idx="3">
                  <c:v>105990</c:v>
                </c:pt>
                <c:pt idx="4">
                  <c:v>165950</c:v>
                </c:pt>
                <c:pt idx="5">
                  <c:v>166600</c:v>
                </c:pt>
              </c:numCache>
            </c:numRef>
          </c:val>
          <c:extLst>
            <c:ext xmlns:c16="http://schemas.microsoft.com/office/drawing/2014/chart" uri="{C3380CC4-5D6E-409C-BE32-E72D297353CC}">
              <c16:uniqueId val="{00000000-34FF-48E9-AAA5-F4DA0BA37316}"/>
            </c:ext>
          </c:extLst>
        </c:ser>
        <c:dLbls>
          <c:dLblPos val="outEnd"/>
          <c:showLegendKey val="0"/>
          <c:showVal val="1"/>
          <c:showCatName val="0"/>
          <c:showSerName val="0"/>
          <c:showPercent val="0"/>
          <c:showBubbleSize val="0"/>
        </c:dLbls>
        <c:gapWidth val="219"/>
        <c:overlap val="-27"/>
        <c:axId val="1708509968"/>
        <c:axId val="1671031280"/>
      </c:barChart>
      <c:catAx>
        <c:axId val="17085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31280"/>
        <c:crosses val="autoZero"/>
        <c:auto val="1"/>
        <c:lblAlgn val="ctr"/>
        <c:lblOffset val="100"/>
        <c:noMultiLvlLbl val="0"/>
      </c:catAx>
      <c:valAx>
        <c:axId val="1671031280"/>
        <c:scaling>
          <c:orientation val="minMax"/>
        </c:scaling>
        <c:delete val="1"/>
        <c:axPos val="l"/>
        <c:numFmt formatCode="General" sourceLinked="1"/>
        <c:majorTickMark val="none"/>
        <c:minorTickMark val="none"/>
        <c:tickLblPos val="nextTo"/>
        <c:crossAx val="170850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chart" Target="../charts/chart3.xml"/><Relationship Id="rId2" Type="http://schemas.openxmlformats.org/officeDocument/2006/relationships/hyperlink" Target="#Dashboard!A1"/><Relationship Id="rId1" Type="http://schemas.openxmlformats.org/officeDocument/2006/relationships/hyperlink" Target="#About!A1"/><Relationship Id="rId6" Type="http://schemas.openxmlformats.org/officeDocument/2006/relationships/image" Target="../media/image2.sv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hyperlink" Target="#Salesman!A1"/><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svg"/><Relationship Id="rId14"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hyperlink" Target="#Product!A1"/><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About!A1"/><Relationship Id="rId4" Type="http://schemas.openxmlformats.org/officeDocument/2006/relationships/image" Target="../media/image3.png"/><Relationship Id="rId9" Type="http://schemas.openxmlformats.org/officeDocument/2006/relationships/hyperlink" Target="#Salesman!A1"/></Relationships>
</file>

<file path=xl/drawings/_rels/drawing4.xml.rels><?xml version="1.0" encoding="UTF-8" standalone="yes"?>
<Relationships xmlns="http://schemas.openxmlformats.org/package/2006/relationships"><Relationship Id="rId8" Type="http://schemas.openxmlformats.org/officeDocument/2006/relationships/hyperlink" Target="#Product!A1"/><Relationship Id="rId3" Type="http://schemas.openxmlformats.org/officeDocument/2006/relationships/image" Target="../media/image1.png"/><Relationship Id="rId7" Type="http://schemas.openxmlformats.org/officeDocument/2006/relationships/hyperlink" Target="#Dashboard!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9.xml"/><Relationship Id="rId5" Type="http://schemas.openxmlformats.org/officeDocument/2006/relationships/image" Target="../media/image3.png"/><Relationship Id="rId10" Type="http://schemas.openxmlformats.org/officeDocument/2006/relationships/hyperlink" Target="#About!A1"/><Relationship Id="rId4" Type="http://schemas.openxmlformats.org/officeDocument/2006/relationships/image" Target="../media/image2.svg"/><Relationship Id="rId9" Type="http://schemas.openxmlformats.org/officeDocument/2006/relationships/hyperlink" Target="#Salesman!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18</xdr:col>
      <xdr:colOff>559282</xdr:colOff>
      <xdr:row>4</xdr:row>
      <xdr:rowOff>175260</xdr:rowOff>
    </xdr:to>
    <xdr:pic>
      <xdr:nvPicPr>
        <xdr:cNvPr id="6" name="Graphic 5" descr="Bar chart">
          <a:extLst>
            <a:ext uri="{FF2B5EF4-FFF2-40B4-BE49-F238E27FC236}">
              <a16:creationId xmlns:a16="http://schemas.microsoft.com/office/drawing/2014/main" id="{FFAE34BA-E64E-4B90-B913-84990A6286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60480" y="365760"/>
          <a:ext cx="559282" cy="5410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274320</xdr:colOff>
      <xdr:row>1</xdr:row>
      <xdr:rowOff>0</xdr:rowOff>
    </xdr:from>
    <xdr:to>
      <xdr:col>15</xdr:col>
      <xdr:colOff>175260</xdr:colOff>
      <xdr:row>29</xdr:row>
      <xdr:rowOff>121920</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C2F08C39-96DC-4DBF-9E97-7B941AD6AD31}"/>
            </a:ext>
          </a:extLst>
        </xdr:cNvPr>
        <xdr:cNvSpPr/>
      </xdr:nvSpPr>
      <xdr:spPr>
        <a:xfrm>
          <a:off x="274320" y="182880"/>
          <a:ext cx="9044940" cy="5242560"/>
        </a:xfrm>
        <a:prstGeom prst="roundRect">
          <a:avLst>
            <a:gd name="adj" fmla="val 3352"/>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2</xdr:col>
      <xdr:colOff>388620</xdr:colOff>
      <xdr:row>1</xdr:row>
      <xdr:rowOff>160020</xdr:rowOff>
    </xdr:from>
    <xdr:to>
      <xdr:col>15</xdr:col>
      <xdr:colOff>74295</xdr:colOff>
      <xdr:row>28</xdr:row>
      <xdr:rowOff>152400</xdr:rowOff>
    </xdr:to>
    <xdr:sp macro="" textlink="">
      <xdr:nvSpPr>
        <xdr:cNvPr id="19" name="Rectangle: Rounded Corners 18">
          <a:extLst>
            <a:ext uri="{FF2B5EF4-FFF2-40B4-BE49-F238E27FC236}">
              <a16:creationId xmlns:a16="http://schemas.microsoft.com/office/drawing/2014/main" id="{EC9B234C-B701-4F40-A2B1-9F65B7820651}"/>
            </a:ext>
          </a:extLst>
        </xdr:cNvPr>
        <xdr:cNvSpPr/>
      </xdr:nvSpPr>
      <xdr:spPr>
        <a:xfrm>
          <a:off x="1607820" y="342900"/>
          <a:ext cx="7610475" cy="4930140"/>
        </a:xfrm>
        <a:prstGeom prst="roundRect">
          <a:avLst>
            <a:gd name="adj" fmla="val 3352"/>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0</xdr:col>
      <xdr:colOff>335280</xdr:colOff>
      <xdr:row>10</xdr:row>
      <xdr:rowOff>38100</xdr:rowOff>
    </xdr:from>
    <xdr:to>
      <xdr:col>2</xdr:col>
      <xdr:colOff>312420</xdr:colOff>
      <xdr:row>12</xdr:row>
      <xdr:rowOff>0</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A9366607-C85B-9EC4-CC6C-2B9F85A42BDB}"/>
            </a:ext>
          </a:extLst>
        </xdr:cNvPr>
        <xdr:cNvSpPr/>
      </xdr:nvSpPr>
      <xdr:spPr>
        <a:xfrm>
          <a:off x="335280" y="1866900"/>
          <a:ext cx="1196340" cy="327660"/>
        </a:xfrm>
        <a:prstGeom prst="roundRect">
          <a:avLst>
            <a:gd name="adj" fmla="val 329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DASHBOARD</a:t>
          </a:r>
        </a:p>
      </xdr:txBody>
    </xdr:sp>
    <xdr:clientData/>
  </xdr:twoCellAnchor>
  <xdr:twoCellAnchor editAs="oneCell">
    <xdr:from>
      <xdr:col>2</xdr:col>
      <xdr:colOff>480060</xdr:colOff>
      <xdr:row>2</xdr:row>
      <xdr:rowOff>53340</xdr:rowOff>
    </xdr:from>
    <xdr:to>
      <xdr:col>11</xdr:col>
      <xdr:colOff>320040</xdr:colOff>
      <xdr:row>8</xdr:row>
      <xdr:rowOff>106680</xdr:rowOff>
    </xdr:to>
    <mc:AlternateContent xmlns:mc="http://schemas.openxmlformats.org/markup-compatibility/2006">
      <mc:Choice xmlns:tsle="http://schemas.microsoft.com/office/drawing/2012/timeslicer" Requires="tsle">
        <xdr:graphicFrame macro="">
          <xdr:nvGraphicFramePr>
            <xdr:cNvPr id="26" name="Date 1">
              <a:extLst>
                <a:ext uri="{FF2B5EF4-FFF2-40B4-BE49-F238E27FC236}">
                  <a16:creationId xmlns:a16="http://schemas.microsoft.com/office/drawing/2014/main" id="{4E13FDBF-D08A-4297-91E1-C6C2516901E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693040" y="426564"/>
              <a:ext cx="5298388" cy="11730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342900</xdr:colOff>
      <xdr:row>2</xdr:row>
      <xdr:rowOff>53340</xdr:rowOff>
    </xdr:from>
    <xdr:to>
      <xdr:col>14</xdr:col>
      <xdr:colOff>601980</xdr:colOff>
      <xdr:row>8</xdr:row>
      <xdr:rowOff>114300</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597C387A-A8F2-4316-9B56-A7799B79D2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014288" y="426564"/>
              <a:ext cx="2078549" cy="1180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8</xdr:row>
      <xdr:rowOff>137160</xdr:rowOff>
    </xdr:from>
    <xdr:to>
      <xdr:col>14</xdr:col>
      <xdr:colOff>601980</xdr:colOff>
      <xdr:row>12</xdr:row>
      <xdr:rowOff>53340</xdr:rowOff>
    </xdr:to>
    <mc:AlternateContent xmlns:mc="http://schemas.openxmlformats.org/markup-compatibility/2006">
      <mc:Choice xmlns:a14="http://schemas.microsoft.com/office/drawing/2010/main" Requires="a14">
        <xdr:graphicFrame macro="">
          <xdr:nvGraphicFramePr>
            <xdr:cNvPr id="28" name="Item 1">
              <a:extLst>
                <a:ext uri="{FF2B5EF4-FFF2-40B4-BE49-F238E27FC236}">
                  <a16:creationId xmlns:a16="http://schemas.microsoft.com/office/drawing/2014/main" id="{F7C9506D-2F28-4D6D-A312-2532CFF65CA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693040" y="1630058"/>
              <a:ext cx="7399797" cy="662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53340</xdr:colOff>
      <xdr:row>12</xdr:row>
      <xdr:rowOff>99060</xdr:rowOff>
    </xdr:from>
    <xdr:to>
      <xdr:col>14</xdr:col>
      <xdr:colOff>563880</xdr:colOff>
      <xdr:row>19</xdr:row>
      <xdr:rowOff>152400</xdr:rowOff>
    </xdr:to>
    <xdr:graphicFrame macro="">
      <xdr:nvGraphicFramePr>
        <xdr:cNvPr id="30" name="Chart 29">
          <a:extLst>
            <a:ext uri="{FF2B5EF4-FFF2-40B4-BE49-F238E27FC236}">
              <a16:creationId xmlns:a16="http://schemas.microsoft.com/office/drawing/2014/main" id="{A5EF88B3-546B-4068-B38C-BB2F7FFC0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xdr:colOff>
      <xdr:row>20</xdr:row>
      <xdr:rowOff>30480</xdr:rowOff>
    </xdr:from>
    <xdr:to>
      <xdr:col>14</xdr:col>
      <xdr:colOff>556260</xdr:colOff>
      <xdr:row>28</xdr:row>
      <xdr:rowOff>91440</xdr:rowOff>
    </xdr:to>
    <xdr:graphicFrame macro="">
      <xdr:nvGraphicFramePr>
        <xdr:cNvPr id="31" name="Chart 30">
          <a:extLst>
            <a:ext uri="{FF2B5EF4-FFF2-40B4-BE49-F238E27FC236}">
              <a16:creationId xmlns:a16="http://schemas.microsoft.com/office/drawing/2014/main" id="{8D467549-B971-4251-A40D-6BB581A24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449580</xdr:colOff>
      <xdr:row>12</xdr:row>
      <xdr:rowOff>83820</xdr:rowOff>
    </xdr:from>
    <xdr:to>
      <xdr:col>3</xdr:col>
      <xdr:colOff>266700</xdr:colOff>
      <xdr:row>14</xdr:row>
      <xdr:rowOff>130846</xdr:rowOff>
    </xdr:to>
    <xdr:pic>
      <xdr:nvPicPr>
        <xdr:cNvPr id="35" name="Graphic 34" descr="Bar chart">
          <a:extLst>
            <a:ext uri="{FF2B5EF4-FFF2-40B4-BE49-F238E27FC236}">
              <a16:creationId xmlns:a16="http://schemas.microsoft.com/office/drawing/2014/main" id="{A9F1A1CB-32A5-4C9D-BB50-B6A23CF5BA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68780" y="2278380"/>
          <a:ext cx="426720" cy="412786"/>
        </a:xfrm>
        <a:prstGeom prst="rect">
          <a:avLst/>
        </a:prstGeom>
      </xdr:spPr>
    </xdr:pic>
    <xdr:clientData/>
  </xdr:twoCellAnchor>
  <xdr:twoCellAnchor editAs="oneCell">
    <xdr:from>
      <xdr:col>3</xdr:col>
      <xdr:colOff>251460</xdr:colOff>
      <xdr:row>12</xdr:row>
      <xdr:rowOff>83820</xdr:rowOff>
    </xdr:from>
    <xdr:to>
      <xdr:col>5</xdr:col>
      <xdr:colOff>281940</xdr:colOff>
      <xdr:row>14</xdr:row>
      <xdr:rowOff>163107</xdr:rowOff>
    </xdr:to>
    <xdr:pic>
      <xdr:nvPicPr>
        <xdr:cNvPr id="39" name="Picture 38">
          <a:extLst>
            <a:ext uri="{FF2B5EF4-FFF2-40B4-BE49-F238E27FC236}">
              <a16:creationId xmlns:a16="http://schemas.microsoft.com/office/drawing/2014/main" id="{96F97D24-9AB0-4792-A469-26828D8F5AAA}"/>
            </a:ext>
          </a:extLst>
        </xdr:cNvPr>
        <xdr:cNvPicPr>
          <a:picLocks noChangeAspect="1"/>
        </xdr:cNvPicPr>
      </xdr:nvPicPr>
      <xdr:blipFill>
        <a:blip xmlns:r="http://schemas.openxmlformats.org/officeDocument/2006/relationships" r:embed="rId7"/>
        <a:stretch>
          <a:fillRect/>
        </a:stretch>
      </xdr:blipFill>
      <xdr:spPr>
        <a:xfrm>
          <a:off x="2080260" y="2278380"/>
          <a:ext cx="1249680" cy="445047"/>
        </a:xfrm>
        <a:prstGeom prst="rect">
          <a:avLst/>
        </a:prstGeom>
      </xdr:spPr>
    </xdr:pic>
    <xdr:clientData/>
  </xdr:twoCellAnchor>
  <xdr:twoCellAnchor>
    <xdr:from>
      <xdr:col>2</xdr:col>
      <xdr:colOff>403860</xdr:colOff>
      <xdr:row>14</xdr:row>
      <xdr:rowOff>152400</xdr:rowOff>
    </xdr:from>
    <xdr:to>
      <xdr:col>5</xdr:col>
      <xdr:colOff>381000</xdr:colOff>
      <xdr:row>18</xdr:row>
      <xdr:rowOff>38100</xdr:rowOff>
    </xdr:to>
    <xdr:sp macro="" textlink="">
      <xdr:nvSpPr>
        <xdr:cNvPr id="40" name="Rectangle: Rounded Corners 39">
          <a:extLst>
            <a:ext uri="{FF2B5EF4-FFF2-40B4-BE49-F238E27FC236}">
              <a16:creationId xmlns:a16="http://schemas.microsoft.com/office/drawing/2014/main" id="{9C6FB8AC-59F1-4990-4014-4CCD51374C80}"/>
            </a:ext>
          </a:extLst>
        </xdr:cNvPr>
        <xdr:cNvSpPr/>
      </xdr:nvSpPr>
      <xdr:spPr>
        <a:xfrm>
          <a:off x="1623060" y="2712720"/>
          <a:ext cx="1805940" cy="6172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14</xdr:row>
      <xdr:rowOff>137160</xdr:rowOff>
    </xdr:from>
    <xdr:to>
      <xdr:col>8</xdr:col>
      <xdr:colOff>472440</xdr:colOff>
      <xdr:row>18</xdr:row>
      <xdr:rowOff>22860</xdr:rowOff>
    </xdr:to>
    <xdr:sp macro="" textlink="">
      <xdr:nvSpPr>
        <xdr:cNvPr id="41" name="Rectangle: Rounded Corners 40">
          <a:extLst>
            <a:ext uri="{FF2B5EF4-FFF2-40B4-BE49-F238E27FC236}">
              <a16:creationId xmlns:a16="http://schemas.microsoft.com/office/drawing/2014/main" id="{DF4B5FAB-CC38-4252-BB3B-CCB9196CBB7E}"/>
            </a:ext>
          </a:extLst>
        </xdr:cNvPr>
        <xdr:cNvSpPr/>
      </xdr:nvSpPr>
      <xdr:spPr>
        <a:xfrm>
          <a:off x="3543300" y="2697480"/>
          <a:ext cx="1805940" cy="6172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68580</xdr:colOff>
      <xdr:row>14</xdr:row>
      <xdr:rowOff>144780</xdr:rowOff>
    </xdr:from>
    <xdr:to>
      <xdr:col>5</xdr:col>
      <xdr:colOff>350520</xdr:colOff>
      <xdr:row>18</xdr:row>
      <xdr:rowOff>30480</xdr:rowOff>
    </xdr:to>
    <xdr:sp macro="" textlink="">
      <xdr:nvSpPr>
        <xdr:cNvPr id="42" name="Rectangle: Rounded Corners 41">
          <a:extLst>
            <a:ext uri="{FF2B5EF4-FFF2-40B4-BE49-F238E27FC236}">
              <a16:creationId xmlns:a16="http://schemas.microsoft.com/office/drawing/2014/main" id="{7ECD7B71-23F3-4B40-8F6B-51AC849D7BA1}"/>
            </a:ext>
          </a:extLst>
        </xdr:cNvPr>
        <xdr:cNvSpPr/>
      </xdr:nvSpPr>
      <xdr:spPr>
        <a:xfrm>
          <a:off x="1897380" y="2705100"/>
          <a:ext cx="150114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160020</xdr:colOff>
      <xdr:row>14</xdr:row>
      <xdr:rowOff>144780</xdr:rowOff>
    </xdr:from>
    <xdr:to>
      <xdr:col>8</xdr:col>
      <xdr:colOff>441960</xdr:colOff>
      <xdr:row>18</xdr:row>
      <xdr:rowOff>30480</xdr:rowOff>
    </xdr:to>
    <xdr:sp macro="" textlink="">
      <xdr:nvSpPr>
        <xdr:cNvPr id="43" name="Rectangle: Rounded Corners 42">
          <a:extLst>
            <a:ext uri="{FF2B5EF4-FFF2-40B4-BE49-F238E27FC236}">
              <a16:creationId xmlns:a16="http://schemas.microsoft.com/office/drawing/2014/main" id="{C23E6F75-BC20-4C1B-9F5A-159B7760E902}"/>
            </a:ext>
          </a:extLst>
        </xdr:cNvPr>
        <xdr:cNvSpPr/>
      </xdr:nvSpPr>
      <xdr:spPr>
        <a:xfrm>
          <a:off x="3817620" y="2705100"/>
          <a:ext cx="150114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114300</xdr:colOff>
      <xdr:row>15</xdr:row>
      <xdr:rowOff>68580</xdr:rowOff>
    </xdr:from>
    <xdr:to>
      <xdr:col>3</xdr:col>
      <xdr:colOff>449579</xdr:colOff>
      <xdr:row>17</xdr:row>
      <xdr:rowOff>38100</xdr:rowOff>
    </xdr:to>
    <xdr:pic>
      <xdr:nvPicPr>
        <xdr:cNvPr id="4" name="Graphic 3" descr="Rupee">
          <a:extLst>
            <a:ext uri="{FF2B5EF4-FFF2-40B4-BE49-F238E27FC236}">
              <a16:creationId xmlns:a16="http://schemas.microsoft.com/office/drawing/2014/main" id="{3C7F671E-7E06-4860-8CBC-9C07348F5A0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943100" y="2811780"/>
          <a:ext cx="335279" cy="335280"/>
        </a:xfrm>
        <a:prstGeom prst="rect">
          <a:avLst/>
        </a:prstGeom>
      </xdr:spPr>
    </xdr:pic>
    <xdr:clientData/>
  </xdr:twoCellAnchor>
  <xdr:twoCellAnchor editAs="oneCell">
    <xdr:from>
      <xdr:col>6</xdr:col>
      <xdr:colOff>213360</xdr:colOff>
      <xdr:row>15</xdr:row>
      <xdr:rowOff>22860</xdr:rowOff>
    </xdr:from>
    <xdr:to>
      <xdr:col>7</xdr:col>
      <xdr:colOff>22860</xdr:colOff>
      <xdr:row>17</xdr:row>
      <xdr:rowOff>60960</xdr:rowOff>
    </xdr:to>
    <xdr:pic>
      <xdr:nvPicPr>
        <xdr:cNvPr id="5" name="Graphic 4" descr="Business Growth">
          <a:extLst>
            <a:ext uri="{FF2B5EF4-FFF2-40B4-BE49-F238E27FC236}">
              <a16:creationId xmlns:a16="http://schemas.microsoft.com/office/drawing/2014/main" id="{5A4EFBB1-9DC9-4E53-9B69-22227C3EF4A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870960" y="2766060"/>
          <a:ext cx="419100" cy="403860"/>
        </a:xfrm>
        <a:prstGeom prst="rect">
          <a:avLst/>
        </a:prstGeom>
      </xdr:spPr>
    </xdr:pic>
    <xdr:clientData/>
  </xdr:twoCellAnchor>
  <xdr:twoCellAnchor>
    <xdr:from>
      <xdr:col>2</xdr:col>
      <xdr:colOff>464820</xdr:colOff>
      <xdr:row>18</xdr:row>
      <xdr:rowOff>99060</xdr:rowOff>
    </xdr:from>
    <xdr:to>
      <xdr:col>9</xdr:col>
      <xdr:colOff>15240</xdr:colOff>
      <xdr:row>28</xdr:row>
      <xdr:rowOff>76200</xdr:rowOff>
    </xdr:to>
    <xdr:graphicFrame macro="">
      <xdr:nvGraphicFramePr>
        <xdr:cNvPr id="7" name="Chart 6">
          <a:extLst>
            <a:ext uri="{FF2B5EF4-FFF2-40B4-BE49-F238E27FC236}">
              <a16:creationId xmlns:a16="http://schemas.microsoft.com/office/drawing/2014/main" id="{E2B1DF0F-796D-4B6B-AD69-E5E357EA7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xdr:col>
      <xdr:colOff>533400</xdr:colOff>
      <xdr:row>15</xdr:row>
      <xdr:rowOff>175260</xdr:rowOff>
    </xdr:from>
    <xdr:ext cx="982980" cy="342786"/>
    <xdr:sp macro="" textlink="'Pivot tables'!E13">
      <xdr:nvSpPr>
        <xdr:cNvPr id="9" name="TextBox 8">
          <a:extLst>
            <a:ext uri="{FF2B5EF4-FFF2-40B4-BE49-F238E27FC236}">
              <a16:creationId xmlns:a16="http://schemas.microsoft.com/office/drawing/2014/main" id="{6B304694-D4CA-F66B-0880-225F70B403BB}"/>
            </a:ext>
          </a:extLst>
        </xdr:cNvPr>
        <xdr:cNvSpPr txBox="1"/>
      </xdr:nvSpPr>
      <xdr:spPr>
        <a:xfrm>
          <a:off x="2362200" y="2918460"/>
          <a:ext cx="982980"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EED97AC-2636-4CD6-964F-A94F7E7376B2}" type="TxLink">
            <a:rPr lang="en-US" sz="1600" b="1" i="0" u="none" strike="noStrike">
              <a:solidFill>
                <a:srgbClr val="000000"/>
              </a:solidFill>
              <a:latin typeface="Calibri"/>
              <a:ea typeface="Calibri"/>
              <a:cs typeface="Calibri"/>
            </a:rPr>
            <a:t>8,81,640</a:t>
          </a:fld>
          <a:endParaRPr lang="en-IN" sz="1600" b="1"/>
        </a:p>
      </xdr:txBody>
    </xdr:sp>
    <xdr:clientData/>
  </xdr:oneCellAnchor>
  <xdr:twoCellAnchor>
    <xdr:from>
      <xdr:col>7</xdr:col>
      <xdr:colOff>243840</xdr:colOff>
      <xdr:row>16</xdr:row>
      <xdr:rowOff>0</xdr:rowOff>
    </xdr:from>
    <xdr:to>
      <xdr:col>8</xdr:col>
      <xdr:colOff>327660</xdr:colOff>
      <xdr:row>17</xdr:row>
      <xdr:rowOff>137160</xdr:rowOff>
    </xdr:to>
    <xdr:sp macro="" textlink="'Pivot tables'!E16">
      <xdr:nvSpPr>
        <xdr:cNvPr id="10" name="TextBox 9">
          <a:extLst>
            <a:ext uri="{FF2B5EF4-FFF2-40B4-BE49-F238E27FC236}">
              <a16:creationId xmlns:a16="http://schemas.microsoft.com/office/drawing/2014/main" id="{28A49924-C62E-F506-3AFC-B3DBA9AAC349}"/>
            </a:ext>
          </a:extLst>
        </xdr:cNvPr>
        <xdr:cNvSpPr txBox="1"/>
      </xdr:nvSpPr>
      <xdr:spPr>
        <a:xfrm>
          <a:off x="4511040" y="2926080"/>
          <a:ext cx="69342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544B19-40DF-455D-BEA2-267971F431B5}" type="TxLink">
            <a:rPr lang="en-US" sz="1600" b="1" i="0" u="none" strike="noStrike">
              <a:solidFill>
                <a:srgbClr val="000000"/>
              </a:solidFill>
              <a:latin typeface="Calibri"/>
              <a:ea typeface="Calibri"/>
              <a:cs typeface="Calibri"/>
            </a:rPr>
            <a:t>250</a:t>
          </a:fld>
          <a:endParaRPr lang="en-IN" sz="1600" b="1"/>
        </a:p>
      </xdr:txBody>
    </xdr:sp>
    <xdr:clientData/>
  </xdr:twoCellAnchor>
  <xdr:twoCellAnchor editAs="oneCell">
    <xdr:from>
      <xdr:col>6</xdr:col>
      <xdr:colOff>525780</xdr:colOff>
      <xdr:row>14</xdr:row>
      <xdr:rowOff>129540</xdr:rowOff>
    </xdr:from>
    <xdr:to>
      <xdr:col>8</xdr:col>
      <xdr:colOff>440534</xdr:colOff>
      <xdr:row>16</xdr:row>
      <xdr:rowOff>147861</xdr:rowOff>
    </xdr:to>
    <xdr:pic>
      <xdr:nvPicPr>
        <xdr:cNvPr id="12" name="Picture 11">
          <a:extLst>
            <a:ext uri="{FF2B5EF4-FFF2-40B4-BE49-F238E27FC236}">
              <a16:creationId xmlns:a16="http://schemas.microsoft.com/office/drawing/2014/main" id="{B0F26D5A-46E3-40C7-A9B2-C0C3618F7B31}"/>
            </a:ext>
          </a:extLst>
        </xdr:cNvPr>
        <xdr:cNvPicPr>
          <a:picLocks noChangeAspect="1"/>
        </xdr:cNvPicPr>
      </xdr:nvPicPr>
      <xdr:blipFill>
        <a:blip xmlns:r="http://schemas.openxmlformats.org/officeDocument/2006/relationships" r:embed="rId13"/>
        <a:stretch>
          <a:fillRect/>
        </a:stretch>
      </xdr:blipFill>
      <xdr:spPr>
        <a:xfrm>
          <a:off x="4183380" y="2689860"/>
          <a:ext cx="1133954" cy="384081"/>
        </a:xfrm>
        <a:prstGeom prst="rect">
          <a:avLst/>
        </a:prstGeom>
      </xdr:spPr>
    </xdr:pic>
    <xdr:clientData/>
  </xdr:twoCellAnchor>
  <xdr:twoCellAnchor editAs="oneCell">
    <xdr:from>
      <xdr:col>3</xdr:col>
      <xdr:colOff>426720</xdr:colOff>
      <xdr:row>14</xdr:row>
      <xdr:rowOff>129540</xdr:rowOff>
    </xdr:from>
    <xdr:to>
      <xdr:col>5</xdr:col>
      <xdr:colOff>341474</xdr:colOff>
      <xdr:row>16</xdr:row>
      <xdr:rowOff>147861</xdr:rowOff>
    </xdr:to>
    <xdr:pic>
      <xdr:nvPicPr>
        <xdr:cNvPr id="13" name="Picture 12">
          <a:extLst>
            <a:ext uri="{FF2B5EF4-FFF2-40B4-BE49-F238E27FC236}">
              <a16:creationId xmlns:a16="http://schemas.microsoft.com/office/drawing/2014/main" id="{1CAC19AC-9EA6-4909-8BA8-A8949DCCE85B}"/>
            </a:ext>
          </a:extLst>
        </xdr:cNvPr>
        <xdr:cNvPicPr>
          <a:picLocks noChangeAspect="1"/>
        </xdr:cNvPicPr>
      </xdr:nvPicPr>
      <xdr:blipFill>
        <a:blip xmlns:r="http://schemas.openxmlformats.org/officeDocument/2006/relationships" r:embed="rId13"/>
        <a:stretch>
          <a:fillRect/>
        </a:stretch>
      </xdr:blipFill>
      <xdr:spPr>
        <a:xfrm>
          <a:off x="2255520" y="2689860"/>
          <a:ext cx="1133954" cy="384081"/>
        </a:xfrm>
        <a:prstGeom prst="rect">
          <a:avLst/>
        </a:prstGeom>
      </xdr:spPr>
    </xdr:pic>
    <xdr:clientData/>
  </xdr:twoCellAnchor>
  <xdr:twoCellAnchor>
    <xdr:from>
      <xdr:col>0</xdr:col>
      <xdr:colOff>327660</xdr:colOff>
      <xdr:row>12</xdr:row>
      <xdr:rowOff>91440</xdr:rowOff>
    </xdr:from>
    <xdr:to>
      <xdr:col>2</xdr:col>
      <xdr:colOff>304800</xdr:colOff>
      <xdr:row>14</xdr:row>
      <xdr:rowOff>53340</xdr:rowOff>
    </xdr:to>
    <xdr:sp macro="" textlink="">
      <xdr:nvSpPr>
        <xdr:cNvPr id="14" name="Rectangle: Rounded Corners 13">
          <a:hlinkClick xmlns:r="http://schemas.openxmlformats.org/officeDocument/2006/relationships" r:id="rId14"/>
          <a:extLst>
            <a:ext uri="{FF2B5EF4-FFF2-40B4-BE49-F238E27FC236}">
              <a16:creationId xmlns:a16="http://schemas.microsoft.com/office/drawing/2014/main" id="{6E7C6DA4-96C2-4C3A-8E13-78752810B71D}"/>
            </a:ext>
          </a:extLst>
        </xdr:cNvPr>
        <xdr:cNvSpPr/>
      </xdr:nvSpPr>
      <xdr:spPr>
        <a:xfrm>
          <a:off x="327660" y="228600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PRODUCTS</a:t>
          </a:r>
        </a:p>
      </xdr:txBody>
    </xdr:sp>
    <xdr:clientData/>
  </xdr:twoCellAnchor>
  <xdr:twoCellAnchor>
    <xdr:from>
      <xdr:col>0</xdr:col>
      <xdr:colOff>335280</xdr:colOff>
      <xdr:row>14</xdr:row>
      <xdr:rowOff>121920</xdr:rowOff>
    </xdr:from>
    <xdr:to>
      <xdr:col>2</xdr:col>
      <xdr:colOff>312420</xdr:colOff>
      <xdr:row>16</xdr:row>
      <xdr:rowOff>83820</xdr:rowOff>
    </xdr:to>
    <xdr:sp macro="" textlink="">
      <xdr:nvSpPr>
        <xdr:cNvPr id="15" name="Rectangle: Rounded Corners 14">
          <a:hlinkClick xmlns:r="http://schemas.openxmlformats.org/officeDocument/2006/relationships" r:id="rId15"/>
          <a:extLst>
            <a:ext uri="{FF2B5EF4-FFF2-40B4-BE49-F238E27FC236}">
              <a16:creationId xmlns:a16="http://schemas.microsoft.com/office/drawing/2014/main" id="{089D9F26-52E8-4B97-9A6C-73384E79F059}"/>
            </a:ext>
          </a:extLst>
        </xdr:cNvPr>
        <xdr:cNvSpPr/>
      </xdr:nvSpPr>
      <xdr:spPr>
        <a:xfrm>
          <a:off x="335280" y="268224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SALESMAN</a:t>
          </a:r>
        </a:p>
      </xdr:txBody>
    </xdr:sp>
    <xdr:clientData/>
  </xdr:twoCellAnchor>
  <xdr:twoCellAnchor>
    <xdr:from>
      <xdr:col>0</xdr:col>
      <xdr:colOff>342900</xdr:colOff>
      <xdr:row>16</xdr:row>
      <xdr:rowOff>152400</xdr:rowOff>
    </xdr:from>
    <xdr:to>
      <xdr:col>2</xdr:col>
      <xdr:colOff>320040</xdr:colOff>
      <xdr:row>18</xdr:row>
      <xdr:rowOff>114300</xdr:rowOff>
    </xdr:to>
    <xdr:sp macro="" textlink="">
      <xdr:nvSpPr>
        <xdr:cNvPr id="16" name="Rectangle: Rounded Corners 15">
          <a:extLst>
            <a:ext uri="{FF2B5EF4-FFF2-40B4-BE49-F238E27FC236}">
              <a16:creationId xmlns:a16="http://schemas.microsoft.com/office/drawing/2014/main" id="{64520F3C-B8A4-445F-AA30-FAF6D627F01E}"/>
            </a:ext>
          </a:extLst>
        </xdr:cNvPr>
        <xdr:cNvSpPr/>
      </xdr:nvSpPr>
      <xdr:spPr>
        <a:xfrm>
          <a:off x="342900" y="307848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ABOUT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274320</xdr:colOff>
      <xdr:row>1</xdr:row>
      <xdr:rowOff>0</xdr:rowOff>
    </xdr:from>
    <xdr:to>
      <xdr:col>15</xdr:col>
      <xdr:colOff>175260</xdr:colOff>
      <xdr:row>29</xdr:row>
      <xdr:rowOff>121920</xdr:rowOff>
    </xdr:to>
    <xdr:sp macro="" textlink="">
      <xdr:nvSpPr>
        <xdr:cNvPr id="2" name="Rectangle: Rounded Corners 1">
          <a:extLst>
            <a:ext uri="{FF2B5EF4-FFF2-40B4-BE49-F238E27FC236}">
              <a16:creationId xmlns:a16="http://schemas.microsoft.com/office/drawing/2014/main" id="{8EB2DB2D-7ECD-4450-A8AC-3D0163B0D922}"/>
            </a:ext>
          </a:extLst>
        </xdr:cNvPr>
        <xdr:cNvSpPr/>
      </xdr:nvSpPr>
      <xdr:spPr>
        <a:xfrm>
          <a:off x="274320" y="182880"/>
          <a:ext cx="9044940" cy="5242560"/>
        </a:xfrm>
        <a:prstGeom prst="roundRect">
          <a:avLst>
            <a:gd name="adj" fmla="val 3352"/>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2</xdr:col>
      <xdr:colOff>388620</xdr:colOff>
      <xdr:row>1</xdr:row>
      <xdr:rowOff>160020</xdr:rowOff>
    </xdr:from>
    <xdr:to>
      <xdr:col>15</xdr:col>
      <xdr:colOff>74295</xdr:colOff>
      <xdr:row>28</xdr:row>
      <xdr:rowOff>152400</xdr:rowOff>
    </xdr:to>
    <xdr:sp macro="" textlink="">
      <xdr:nvSpPr>
        <xdr:cNvPr id="3" name="Rectangle: Rounded Corners 2">
          <a:extLst>
            <a:ext uri="{FF2B5EF4-FFF2-40B4-BE49-F238E27FC236}">
              <a16:creationId xmlns:a16="http://schemas.microsoft.com/office/drawing/2014/main" id="{DD25A024-4C85-4659-BE4A-0172AC0B37D7}"/>
            </a:ext>
          </a:extLst>
        </xdr:cNvPr>
        <xdr:cNvSpPr/>
      </xdr:nvSpPr>
      <xdr:spPr>
        <a:xfrm>
          <a:off x="1607820" y="342900"/>
          <a:ext cx="7610475" cy="4930140"/>
        </a:xfrm>
        <a:prstGeom prst="roundRect">
          <a:avLst>
            <a:gd name="adj" fmla="val 3352"/>
          </a:avLst>
        </a:prstGeom>
        <a:solidFill>
          <a:schemeClr val="accent1">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editAs="oneCell">
    <xdr:from>
      <xdr:col>2</xdr:col>
      <xdr:colOff>480060</xdr:colOff>
      <xdr:row>2</xdr:row>
      <xdr:rowOff>53340</xdr:rowOff>
    </xdr:from>
    <xdr:to>
      <xdr:col>11</xdr:col>
      <xdr:colOff>320040</xdr:colOff>
      <xdr:row>8</xdr:row>
      <xdr:rowOff>106680</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3344E396-7210-44B9-925E-6EC3984882F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699260" y="419100"/>
              <a:ext cx="5326380" cy="1150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342900</xdr:colOff>
      <xdr:row>2</xdr:row>
      <xdr:rowOff>53340</xdr:rowOff>
    </xdr:from>
    <xdr:to>
      <xdr:col>14</xdr:col>
      <xdr:colOff>601980</xdr:colOff>
      <xdr:row>8</xdr:row>
      <xdr:rowOff>114300</xdr:rowOff>
    </xdr:to>
    <mc:AlternateContent xmlns:mc="http://schemas.openxmlformats.org/markup-compatibility/2006" xmlns:a14="http://schemas.microsoft.com/office/drawing/2010/main">
      <mc:Choice Requires="a14">
        <xdr:graphicFrame macro="">
          <xdr:nvGraphicFramePr>
            <xdr:cNvPr id="9" name="Region 3">
              <a:extLst>
                <a:ext uri="{FF2B5EF4-FFF2-40B4-BE49-F238E27FC236}">
                  <a16:creationId xmlns:a16="http://schemas.microsoft.com/office/drawing/2014/main" id="{FD4045CA-49B9-41F0-BC55-90ACB5FC7C4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048500" y="419100"/>
              <a:ext cx="20878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8</xdr:row>
      <xdr:rowOff>137160</xdr:rowOff>
    </xdr:from>
    <xdr:to>
      <xdr:col>14</xdr:col>
      <xdr:colOff>601980</xdr:colOff>
      <xdr:row>12</xdr:row>
      <xdr:rowOff>30480</xdr:rowOff>
    </xdr:to>
    <mc:AlternateContent xmlns:mc="http://schemas.openxmlformats.org/markup-compatibility/2006" xmlns:a14="http://schemas.microsoft.com/office/drawing/2010/main">
      <mc:Choice Requires="a14">
        <xdr:graphicFrame macro="">
          <xdr:nvGraphicFramePr>
            <xdr:cNvPr id="10" name="Item 3">
              <a:extLst>
                <a:ext uri="{FF2B5EF4-FFF2-40B4-BE49-F238E27FC236}">
                  <a16:creationId xmlns:a16="http://schemas.microsoft.com/office/drawing/2014/main" id="{DB29B3DC-F717-4241-9D19-229566E61650}"/>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699260" y="1600200"/>
              <a:ext cx="743712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312420</xdr:colOff>
      <xdr:row>12</xdr:row>
      <xdr:rowOff>76200</xdr:rowOff>
    </xdr:from>
    <xdr:to>
      <xdr:col>14</xdr:col>
      <xdr:colOff>594360</xdr:colOff>
      <xdr:row>20</xdr:row>
      <xdr:rowOff>7620</xdr:rowOff>
    </xdr:to>
    <xdr:graphicFrame macro="">
      <xdr:nvGraphicFramePr>
        <xdr:cNvPr id="12" name="Chart 11">
          <a:extLst>
            <a:ext uri="{FF2B5EF4-FFF2-40B4-BE49-F238E27FC236}">
              <a16:creationId xmlns:a16="http://schemas.microsoft.com/office/drawing/2014/main" id="{40DAD224-F166-40D7-BD07-D25C54406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495300</xdr:colOff>
      <xdr:row>12</xdr:row>
      <xdr:rowOff>99060</xdr:rowOff>
    </xdr:from>
    <xdr:to>
      <xdr:col>3</xdr:col>
      <xdr:colOff>444982</xdr:colOff>
      <xdr:row>15</xdr:row>
      <xdr:rowOff>91440</xdr:rowOff>
    </xdr:to>
    <xdr:pic>
      <xdr:nvPicPr>
        <xdr:cNvPr id="15" name="Graphic 14" descr="Bar chart">
          <a:extLst>
            <a:ext uri="{FF2B5EF4-FFF2-40B4-BE49-F238E27FC236}">
              <a16:creationId xmlns:a16="http://schemas.microsoft.com/office/drawing/2014/main" id="{91977BF9-F88F-4DCB-B3CF-529AD77E52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14500" y="2293620"/>
          <a:ext cx="559282" cy="541020"/>
        </a:xfrm>
        <a:prstGeom prst="rect">
          <a:avLst/>
        </a:prstGeom>
      </xdr:spPr>
    </xdr:pic>
    <xdr:clientData/>
  </xdr:twoCellAnchor>
  <xdr:twoCellAnchor editAs="oneCell">
    <xdr:from>
      <xdr:col>3</xdr:col>
      <xdr:colOff>563880</xdr:colOff>
      <xdr:row>12</xdr:row>
      <xdr:rowOff>160020</xdr:rowOff>
    </xdr:from>
    <xdr:to>
      <xdr:col>5</xdr:col>
      <xdr:colOff>594360</xdr:colOff>
      <xdr:row>15</xdr:row>
      <xdr:rowOff>56427</xdr:rowOff>
    </xdr:to>
    <xdr:pic>
      <xdr:nvPicPr>
        <xdr:cNvPr id="16" name="Picture 15">
          <a:extLst>
            <a:ext uri="{FF2B5EF4-FFF2-40B4-BE49-F238E27FC236}">
              <a16:creationId xmlns:a16="http://schemas.microsoft.com/office/drawing/2014/main" id="{94F52963-5660-4EC2-A67C-AB5659026560}"/>
            </a:ext>
          </a:extLst>
        </xdr:cNvPr>
        <xdr:cNvPicPr>
          <a:picLocks noChangeAspect="1"/>
        </xdr:cNvPicPr>
      </xdr:nvPicPr>
      <xdr:blipFill>
        <a:blip xmlns:r="http://schemas.openxmlformats.org/officeDocument/2006/relationships" r:embed="rId4"/>
        <a:stretch>
          <a:fillRect/>
        </a:stretch>
      </xdr:blipFill>
      <xdr:spPr>
        <a:xfrm>
          <a:off x="2392680" y="2354580"/>
          <a:ext cx="1249680" cy="445047"/>
        </a:xfrm>
        <a:prstGeom prst="rect">
          <a:avLst/>
        </a:prstGeom>
      </xdr:spPr>
    </xdr:pic>
    <xdr:clientData/>
  </xdr:twoCellAnchor>
  <xdr:twoCellAnchor>
    <xdr:from>
      <xdr:col>2</xdr:col>
      <xdr:colOff>502920</xdr:colOff>
      <xdr:row>15</xdr:row>
      <xdr:rowOff>144780</xdr:rowOff>
    </xdr:from>
    <xdr:to>
      <xdr:col>8</xdr:col>
      <xdr:colOff>251460</xdr:colOff>
      <xdr:row>28</xdr:row>
      <xdr:rowOff>45720</xdr:rowOff>
    </xdr:to>
    <xdr:graphicFrame macro="">
      <xdr:nvGraphicFramePr>
        <xdr:cNvPr id="14" name="Chart 13">
          <a:extLst>
            <a:ext uri="{FF2B5EF4-FFF2-40B4-BE49-F238E27FC236}">
              <a16:creationId xmlns:a16="http://schemas.microsoft.com/office/drawing/2014/main" id="{CBF367D0-DB5A-486D-8179-932BC963B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297180</xdr:colOff>
      <xdr:row>20</xdr:row>
      <xdr:rowOff>83820</xdr:rowOff>
    </xdr:from>
    <xdr:to>
      <xdr:col>14</xdr:col>
      <xdr:colOff>601980</xdr:colOff>
      <xdr:row>28</xdr:row>
      <xdr:rowOff>53340</xdr:rowOff>
    </xdr:to>
    <xdr:graphicFrame macro="">
      <xdr:nvGraphicFramePr>
        <xdr:cNvPr id="17" name="Chart 16">
          <a:extLst>
            <a:ext uri="{FF2B5EF4-FFF2-40B4-BE49-F238E27FC236}">
              <a16:creationId xmlns:a16="http://schemas.microsoft.com/office/drawing/2014/main" id="{3C47CE67-DA16-4A2D-94E5-68B7D7C24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342900</xdr:colOff>
      <xdr:row>10</xdr:row>
      <xdr:rowOff>7620</xdr:rowOff>
    </xdr:from>
    <xdr:to>
      <xdr:col>2</xdr:col>
      <xdr:colOff>320040</xdr:colOff>
      <xdr:row>11</xdr:row>
      <xdr:rowOff>152400</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755178A8-5F9B-419A-8F96-55C8278478BC}"/>
            </a:ext>
          </a:extLst>
        </xdr:cNvPr>
        <xdr:cNvSpPr/>
      </xdr:nvSpPr>
      <xdr:spPr>
        <a:xfrm>
          <a:off x="342900" y="183642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DASHBOARD</a:t>
          </a:r>
        </a:p>
      </xdr:txBody>
    </xdr:sp>
    <xdr:clientData/>
  </xdr:twoCellAnchor>
  <xdr:twoCellAnchor>
    <xdr:from>
      <xdr:col>0</xdr:col>
      <xdr:colOff>342900</xdr:colOff>
      <xdr:row>12</xdr:row>
      <xdr:rowOff>30480</xdr:rowOff>
    </xdr:from>
    <xdr:to>
      <xdr:col>2</xdr:col>
      <xdr:colOff>320040</xdr:colOff>
      <xdr:row>13</xdr:row>
      <xdr:rowOff>175260</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464645B8-88EB-4AD3-ACB5-A936B0CD875F}"/>
            </a:ext>
          </a:extLst>
        </xdr:cNvPr>
        <xdr:cNvSpPr/>
      </xdr:nvSpPr>
      <xdr:spPr>
        <a:xfrm>
          <a:off x="342900" y="2225040"/>
          <a:ext cx="1196340" cy="327660"/>
        </a:xfrm>
        <a:prstGeom prst="roundRect">
          <a:avLst>
            <a:gd name="adj" fmla="val 3294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PRODUCTS</a:t>
          </a:r>
        </a:p>
      </xdr:txBody>
    </xdr:sp>
    <xdr:clientData/>
  </xdr:twoCellAnchor>
  <xdr:twoCellAnchor>
    <xdr:from>
      <xdr:col>0</xdr:col>
      <xdr:colOff>342900</xdr:colOff>
      <xdr:row>14</xdr:row>
      <xdr:rowOff>60960</xdr:rowOff>
    </xdr:from>
    <xdr:to>
      <xdr:col>2</xdr:col>
      <xdr:colOff>320040</xdr:colOff>
      <xdr:row>16</xdr:row>
      <xdr:rowOff>22860</xdr:rowOff>
    </xdr:to>
    <xdr:sp macro="" textlink="">
      <xdr:nvSpPr>
        <xdr:cNvPr id="20" name="Rectangle: Rounded Corners 19">
          <a:hlinkClick xmlns:r="http://schemas.openxmlformats.org/officeDocument/2006/relationships" r:id="rId9"/>
          <a:extLst>
            <a:ext uri="{FF2B5EF4-FFF2-40B4-BE49-F238E27FC236}">
              <a16:creationId xmlns:a16="http://schemas.microsoft.com/office/drawing/2014/main" id="{601ADAC5-3F76-4C02-B87D-653C19EFECED}"/>
            </a:ext>
          </a:extLst>
        </xdr:cNvPr>
        <xdr:cNvSpPr/>
      </xdr:nvSpPr>
      <xdr:spPr>
        <a:xfrm>
          <a:off x="342900" y="262128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SALESMAN</a:t>
          </a:r>
        </a:p>
      </xdr:txBody>
    </xdr:sp>
    <xdr:clientData/>
  </xdr:twoCellAnchor>
  <xdr:twoCellAnchor>
    <xdr:from>
      <xdr:col>0</xdr:col>
      <xdr:colOff>350520</xdr:colOff>
      <xdr:row>16</xdr:row>
      <xdr:rowOff>91440</xdr:rowOff>
    </xdr:from>
    <xdr:to>
      <xdr:col>2</xdr:col>
      <xdr:colOff>327660</xdr:colOff>
      <xdr:row>18</xdr:row>
      <xdr:rowOff>53340</xdr:rowOff>
    </xdr:to>
    <xdr:sp macro="" textlink="">
      <xdr:nvSpPr>
        <xdr:cNvPr id="21" name="Rectangle: Rounded Corners 20">
          <a:hlinkClick xmlns:r="http://schemas.openxmlformats.org/officeDocument/2006/relationships" r:id="rId10"/>
          <a:extLst>
            <a:ext uri="{FF2B5EF4-FFF2-40B4-BE49-F238E27FC236}">
              <a16:creationId xmlns:a16="http://schemas.microsoft.com/office/drawing/2014/main" id="{FD422274-77D9-4C85-BEA8-4A7C50365E28}"/>
            </a:ext>
          </a:extLst>
        </xdr:cNvPr>
        <xdr:cNvSpPr/>
      </xdr:nvSpPr>
      <xdr:spPr>
        <a:xfrm>
          <a:off x="350520" y="301752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ABOUT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274320</xdr:colOff>
      <xdr:row>1</xdr:row>
      <xdr:rowOff>0</xdr:rowOff>
    </xdr:from>
    <xdr:to>
      <xdr:col>15</xdr:col>
      <xdr:colOff>175260</xdr:colOff>
      <xdr:row>29</xdr:row>
      <xdr:rowOff>121920</xdr:rowOff>
    </xdr:to>
    <xdr:sp macro="" textlink="">
      <xdr:nvSpPr>
        <xdr:cNvPr id="2" name="Rectangle: Rounded Corners 1">
          <a:extLst>
            <a:ext uri="{FF2B5EF4-FFF2-40B4-BE49-F238E27FC236}">
              <a16:creationId xmlns:a16="http://schemas.microsoft.com/office/drawing/2014/main" id="{E6C09A32-144D-4BFF-9732-39FE571BA662}"/>
            </a:ext>
          </a:extLst>
        </xdr:cNvPr>
        <xdr:cNvSpPr/>
      </xdr:nvSpPr>
      <xdr:spPr>
        <a:xfrm>
          <a:off x="274320" y="182880"/>
          <a:ext cx="9044940" cy="5242560"/>
        </a:xfrm>
        <a:prstGeom prst="roundRect">
          <a:avLst>
            <a:gd name="adj" fmla="val 3352"/>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2</xdr:col>
      <xdr:colOff>388620</xdr:colOff>
      <xdr:row>1</xdr:row>
      <xdr:rowOff>160020</xdr:rowOff>
    </xdr:from>
    <xdr:to>
      <xdr:col>15</xdr:col>
      <xdr:colOff>74295</xdr:colOff>
      <xdr:row>28</xdr:row>
      <xdr:rowOff>152400</xdr:rowOff>
    </xdr:to>
    <xdr:sp macro="" textlink="">
      <xdr:nvSpPr>
        <xdr:cNvPr id="3" name="Rectangle: Rounded Corners 2">
          <a:extLst>
            <a:ext uri="{FF2B5EF4-FFF2-40B4-BE49-F238E27FC236}">
              <a16:creationId xmlns:a16="http://schemas.microsoft.com/office/drawing/2014/main" id="{C04151C4-8C30-4C7D-89DA-C135452F5B62}"/>
            </a:ext>
          </a:extLst>
        </xdr:cNvPr>
        <xdr:cNvSpPr/>
      </xdr:nvSpPr>
      <xdr:spPr>
        <a:xfrm>
          <a:off x="1607820" y="342900"/>
          <a:ext cx="7610475" cy="4930140"/>
        </a:xfrm>
        <a:prstGeom prst="roundRect">
          <a:avLst>
            <a:gd name="adj" fmla="val 3352"/>
          </a:avLst>
        </a:prstGeom>
        <a:solidFill>
          <a:schemeClr val="accent1">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t>ND </a:t>
          </a:r>
        </a:p>
      </xdr:txBody>
    </xdr:sp>
    <xdr:clientData/>
  </xdr:twoCellAnchor>
  <xdr:twoCellAnchor editAs="oneCell">
    <xdr:from>
      <xdr:col>2</xdr:col>
      <xdr:colOff>480060</xdr:colOff>
      <xdr:row>2</xdr:row>
      <xdr:rowOff>53340</xdr:rowOff>
    </xdr:from>
    <xdr:to>
      <xdr:col>11</xdr:col>
      <xdr:colOff>320040</xdr:colOff>
      <xdr:row>8</xdr:row>
      <xdr:rowOff>106680</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382D070E-1A19-4651-B1B4-491A8994CBC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99260" y="419100"/>
              <a:ext cx="5326380" cy="1150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342900</xdr:colOff>
      <xdr:row>2</xdr:row>
      <xdr:rowOff>53340</xdr:rowOff>
    </xdr:from>
    <xdr:to>
      <xdr:col>14</xdr:col>
      <xdr:colOff>601980</xdr:colOff>
      <xdr:row>8</xdr:row>
      <xdr:rowOff>114300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5CFBE81E-A2D3-44B4-8B54-CADE2D6520C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048500" y="419100"/>
              <a:ext cx="20878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8</xdr:row>
      <xdr:rowOff>137160</xdr:rowOff>
    </xdr:from>
    <xdr:to>
      <xdr:col>14</xdr:col>
      <xdr:colOff>601980</xdr:colOff>
      <xdr:row>12</xdr:row>
      <xdr:rowOff>22860</xdr:rowOff>
    </xdr:to>
    <mc:AlternateContent xmlns:mc="http://schemas.openxmlformats.org/markup-compatibility/2006" xmlns:a14="http://schemas.microsoft.com/office/drawing/2010/main">
      <mc:Choice Requires="a14">
        <xdr:graphicFrame macro="">
          <xdr:nvGraphicFramePr>
            <xdr:cNvPr id="10" name="Item 2">
              <a:extLst>
                <a:ext uri="{FF2B5EF4-FFF2-40B4-BE49-F238E27FC236}">
                  <a16:creationId xmlns:a16="http://schemas.microsoft.com/office/drawing/2014/main" id="{A0664735-C9BB-4A84-9574-BD476F2A104F}"/>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699260" y="1600200"/>
              <a:ext cx="74371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304800</xdr:colOff>
      <xdr:row>12</xdr:row>
      <xdr:rowOff>38100</xdr:rowOff>
    </xdr:from>
    <xdr:to>
      <xdr:col>14</xdr:col>
      <xdr:colOff>586740</xdr:colOff>
      <xdr:row>20</xdr:row>
      <xdr:rowOff>7620</xdr:rowOff>
    </xdr:to>
    <xdr:graphicFrame macro="">
      <xdr:nvGraphicFramePr>
        <xdr:cNvPr id="12" name="Chart 11">
          <a:extLst>
            <a:ext uri="{FF2B5EF4-FFF2-40B4-BE49-F238E27FC236}">
              <a16:creationId xmlns:a16="http://schemas.microsoft.com/office/drawing/2014/main" id="{529E2F70-504E-401D-8D56-9B92F86E8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20</xdr:row>
      <xdr:rowOff>60960</xdr:rowOff>
    </xdr:from>
    <xdr:to>
      <xdr:col>14</xdr:col>
      <xdr:colOff>571500</xdr:colOff>
      <xdr:row>28</xdr:row>
      <xdr:rowOff>83820</xdr:rowOff>
    </xdr:to>
    <xdr:graphicFrame macro="">
      <xdr:nvGraphicFramePr>
        <xdr:cNvPr id="13" name="Chart 12">
          <a:extLst>
            <a:ext uri="{FF2B5EF4-FFF2-40B4-BE49-F238E27FC236}">
              <a16:creationId xmlns:a16="http://schemas.microsoft.com/office/drawing/2014/main" id="{5E276BBC-9BB7-4E5E-979F-1D5E8D0CD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533400</xdr:colOff>
      <xdr:row>12</xdr:row>
      <xdr:rowOff>83820</xdr:rowOff>
    </xdr:from>
    <xdr:to>
      <xdr:col>3</xdr:col>
      <xdr:colOff>464820</xdr:colOff>
      <xdr:row>15</xdr:row>
      <xdr:rowOff>58534</xdr:rowOff>
    </xdr:to>
    <xdr:pic>
      <xdr:nvPicPr>
        <xdr:cNvPr id="17" name="Graphic 16" descr="Bar chart">
          <a:extLst>
            <a:ext uri="{FF2B5EF4-FFF2-40B4-BE49-F238E27FC236}">
              <a16:creationId xmlns:a16="http://schemas.microsoft.com/office/drawing/2014/main" id="{D254A6E9-B6F0-4CE8-AB21-82754897AA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52600" y="2278380"/>
          <a:ext cx="541020" cy="523354"/>
        </a:xfrm>
        <a:prstGeom prst="rect">
          <a:avLst/>
        </a:prstGeom>
      </xdr:spPr>
    </xdr:pic>
    <xdr:clientData/>
  </xdr:twoCellAnchor>
  <xdr:twoCellAnchor editAs="oneCell">
    <xdr:from>
      <xdr:col>3</xdr:col>
      <xdr:colOff>495300</xdr:colOff>
      <xdr:row>12</xdr:row>
      <xdr:rowOff>160020</xdr:rowOff>
    </xdr:from>
    <xdr:to>
      <xdr:col>5</xdr:col>
      <xdr:colOff>525780</xdr:colOff>
      <xdr:row>15</xdr:row>
      <xdr:rowOff>56427</xdr:rowOff>
    </xdr:to>
    <xdr:pic>
      <xdr:nvPicPr>
        <xdr:cNvPr id="20" name="Picture 19">
          <a:extLst>
            <a:ext uri="{FF2B5EF4-FFF2-40B4-BE49-F238E27FC236}">
              <a16:creationId xmlns:a16="http://schemas.microsoft.com/office/drawing/2014/main" id="{38E3A343-1672-DA35-F3DB-686CF53A1BDA}"/>
            </a:ext>
          </a:extLst>
        </xdr:cNvPr>
        <xdr:cNvPicPr>
          <a:picLocks noChangeAspect="1"/>
        </xdr:cNvPicPr>
      </xdr:nvPicPr>
      <xdr:blipFill>
        <a:blip xmlns:r="http://schemas.openxmlformats.org/officeDocument/2006/relationships" r:embed="rId5"/>
        <a:stretch>
          <a:fillRect/>
        </a:stretch>
      </xdr:blipFill>
      <xdr:spPr>
        <a:xfrm>
          <a:off x="2324100" y="2354580"/>
          <a:ext cx="1249680" cy="445047"/>
        </a:xfrm>
        <a:prstGeom prst="rect">
          <a:avLst/>
        </a:prstGeom>
      </xdr:spPr>
    </xdr:pic>
    <xdr:clientData/>
  </xdr:twoCellAnchor>
  <xdr:twoCellAnchor>
    <xdr:from>
      <xdr:col>2</xdr:col>
      <xdr:colOff>472440</xdr:colOff>
      <xdr:row>15</xdr:row>
      <xdr:rowOff>60960</xdr:rowOff>
    </xdr:from>
    <xdr:to>
      <xdr:col>8</xdr:col>
      <xdr:colOff>266700</xdr:colOff>
      <xdr:row>28</xdr:row>
      <xdr:rowOff>76200</xdr:rowOff>
    </xdr:to>
    <xdr:graphicFrame macro="">
      <xdr:nvGraphicFramePr>
        <xdr:cNvPr id="14" name="Chart 13">
          <a:extLst>
            <a:ext uri="{FF2B5EF4-FFF2-40B4-BE49-F238E27FC236}">
              <a16:creationId xmlns:a16="http://schemas.microsoft.com/office/drawing/2014/main" id="{7B7A668D-4068-4557-93B8-DFE82B21F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342900</xdr:colOff>
      <xdr:row>10</xdr:row>
      <xdr:rowOff>0</xdr:rowOff>
    </xdr:from>
    <xdr:to>
      <xdr:col>2</xdr:col>
      <xdr:colOff>320040</xdr:colOff>
      <xdr:row>11</xdr:row>
      <xdr:rowOff>144780</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C1C7793F-9F94-4661-AC4D-019D0EF44F68}"/>
            </a:ext>
          </a:extLst>
        </xdr:cNvPr>
        <xdr:cNvSpPr/>
      </xdr:nvSpPr>
      <xdr:spPr>
        <a:xfrm>
          <a:off x="342900" y="182880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DASHBOARD</a:t>
          </a:r>
        </a:p>
      </xdr:txBody>
    </xdr:sp>
    <xdr:clientData/>
  </xdr:twoCellAnchor>
  <xdr:twoCellAnchor>
    <xdr:from>
      <xdr:col>0</xdr:col>
      <xdr:colOff>335280</xdr:colOff>
      <xdr:row>12</xdr:row>
      <xdr:rowOff>30480</xdr:rowOff>
    </xdr:from>
    <xdr:to>
      <xdr:col>2</xdr:col>
      <xdr:colOff>312420</xdr:colOff>
      <xdr:row>13</xdr:row>
      <xdr:rowOff>175260</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EDA1B729-D8B4-4902-978A-A3DEE1D64842}"/>
            </a:ext>
          </a:extLst>
        </xdr:cNvPr>
        <xdr:cNvSpPr/>
      </xdr:nvSpPr>
      <xdr:spPr>
        <a:xfrm>
          <a:off x="335280" y="222504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PRODUCTS</a:t>
          </a:r>
        </a:p>
      </xdr:txBody>
    </xdr:sp>
    <xdr:clientData/>
  </xdr:twoCellAnchor>
  <xdr:twoCellAnchor>
    <xdr:from>
      <xdr:col>0</xdr:col>
      <xdr:colOff>335280</xdr:colOff>
      <xdr:row>14</xdr:row>
      <xdr:rowOff>53340</xdr:rowOff>
    </xdr:from>
    <xdr:to>
      <xdr:col>2</xdr:col>
      <xdr:colOff>312420</xdr:colOff>
      <xdr:row>16</xdr:row>
      <xdr:rowOff>15240</xdr:rowOff>
    </xdr:to>
    <xdr:sp macro="" textlink="">
      <xdr:nvSpPr>
        <xdr:cNvPr id="21" name="Rectangle: Rounded Corners 20">
          <a:hlinkClick xmlns:r="http://schemas.openxmlformats.org/officeDocument/2006/relationships" r:id="rId9"/>
          <a:extLst>
            <a:ext uri="{FF2B5EF4-FFF2-40B4-BE49-F238E27FC236}">
              <a16:creationId xmlns:a16="http://schemas.microsoft.com/office/drawing/2014/main" id="{24351D0F-600A-4C6C-B005-0AB99CA5FF8A}"/>
            </a:ext>
          </a:extLst>
        </xdr:cNvPr>
        <xdr:cNvSpPr/>
      </xdr:nvSpPr>
      <xdr:spPr>
        <a:xfrm>
          <a:off x="335280" y="2613660"/>
          <a:ext cx="1196340" cy="327660"/>
        </a:xfrm>
        <a:prstGeom prst="roundRect">
          <a:avLst>
            <a:gd name="adj" fmla="val 329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SALESMAN</a:t>
          </a:r>
        </a:p>
      </xdr:txBody>
    </xdr:sp>
    <xdr:clientData/>
  </xdr:twoCellAnchor>
  <xdr:twoCellAnchor>
    <xdr:from>
      <xdr:col>0</xdr:col>
      <xdr:colOff>327660</xdr:colOff>
      <xdr:row>16</xdr:row>
      <xdr:rowOff>60960</xdr:rowOff>
    </xdr:from>
    <xdr:to>
      <xdr:col>2</xdr:col>
      <xdr:colOff>304800</xdr:colOff>
      <xdr:row>18</xdr:row>
      <xdr:rowOff>22860</xdr:rowOff>
    </xdr:to>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9901F62F-63AE-4F7D-AF5F-772E7B14CB86}"/>
            </a:ext>
          </a:extLst>
        </xdr:cNvPr>
        <xdr:cNvSpPr/>
      </xdr:nvSpPr>
      <xdr:spPr>
        <a:xfrm>
          <a:off x="327660" y="298704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ABOUT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274320</xdr:colOff>
      <xdr:row>1</xdr:row>
      <xdr:rowOff>0</xdr:rowOff>
    </xdr:from>
    <xdr:to>
      <xdr:col>15</xdr:col>
      <xdr:colOff>175260</xdr:colOff>
      <xdr:row>29</xdr:row>
      <xdr:rowOff>121920</xdr:rowOff>
    </xdr:to>
    <xdr:sp macro="" textlink="">
      <xdr:nvSpPr>
        <xdr:cNvPr id="2" name="Rectangle: Rounded Corners 1">
          <a:extLst>
            <a:ext uri="{FF2B5EF4-FFF2-40B4-BE49-F238E27FC236}">
              <a16:creationId xmlns:a16="http://schemas.microsoft.com/office/drawing/2014/main" id="{A52540CA-BA7A-4E94-A711-48DDFB551EE7}"/>
            </a:ext>
          </a:extLst>
        </xdr:cNvPr>
        <xdr:cNvSpPr/>
      </xdr:nvSpPr>
      <xdr:spPr>
        <a:xfrm>
          <a:off x="274320" y="182880"/>
          <a:ext cx="9044940" cy="5242560"/>
        </a:xfrm>
        <a:prstGeom prst="roundRect">
          <a:avLst>
            <a:gd name="adj" fmla="val 3352"/>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2</xdr:col>
      <xdr:colOff>388620</xdr:colOff>
      <xdr:row>1</xdr:row>
      <xdr:rowOff>160020</xdr:rowOff>
    </xdr:from>
    <xdr:to>
      <xdr:col>15</xdr:col>
      <xdr:colOff>74295</xdr:colOff>
      <xdr:row>28</xdr:row>
      <xdr:rowOff>152400</xdr:rowOff>
    </xdr:to>
    <xdr:sp macro="" textlink="">
      <xdr:nvSpPr>
        <xdr:cNvPr id="3" name="Rectangle: Rounded Corners 2">
          <a:extLst>
            <a:ext uri="{FF2B5EF4-FFF2-40B4-BE49-F238E27FC236}">
              <a16:creationId xmlns:a16="http://schemas.microsoft.com/office/drawing/2014/main" id="{0C5707A9-7BE7-444A-8B3C-CDE638FD733B}"/>
            </a:ext>
          </a:extLst>
        </xdr:cNvPr>
        <xdr:cNvSpPr/>
      </xdr:nvSpPr>
      <xdr:spPr>
        <a:xfrm>
          <a:off x="1607820" y="342900"/>
          <a:ext cx="7610475" cy="4930140"/>
        </a:xfrm>
        <a:prstGeom prst="roundRect">
          <a:avLst>
            <a:gd name="adj" fmla="val 3352"/>
          </a:avLst>
        </a:prstGeom>
        <a:solidFill>
          <a:schemeClr val="accent1">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editAs="oneCell">
    <xdr:from>
      <xdr:col>2</xdr:col>
      <xdr:colOff>480060</xdr:colOff>
      <xdr:row>2</xdr:row>
      <xdr:rowOff>53340</xdr:rowOff>
    </xdr:from>
    <xdr:to>
      <xdr:col>11</xdr:col>
      <xdr:colOff>320040</xdr:colOff>
      <xdr:row>8</xdr:row>
      <xdr:rowOff>106680</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C374072E-CBA6-4D08-8010-1DB8ED1DCC4C}"/>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699260" y="419100"/>
              <a:ext cx="5326380" cy="1150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342900</xdr:colOff>
      <xdr:row>2</xdr:row>
      <xdr:rowOff>53340</xdr:rowOff>
    </xdr:from>
    <xdr:to>
      <xdr:col>14</xdr:col>
      <xdr:colOff>601980</xdr:colOff>
      <xdr:row>8</xdr:row>
      <xdr:rowOff>114300</xdr:rowOff>
    </xdr:to>
    <mc:AlternateContent xmlns:mc="http://schemas.openxmlformats.org/markup-compatibility/2006" xmlns:a14="http://schemas.microsoft.com/office/drawing/2010/main">
      <mc:Choice Requires="a14">
        <xdr:graphicFrame macro="">
          <xdr:nvGraphicFramePr>
            <xdr:cNvPr id="9" name="Region 4">
              <a:extLst>
                <a:ext uri="{FF2B5EF4-FFF2-40B4-BE49-F238E27FC236}">
                  <a16:creationId xmlns:a16="http://schemas.microsoft.com/office/drawing/2014/main" id="{C5026796-E69D-4BE9-AA4F-D0E97F74D52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048500" y="419100"/>
              <a:ext cx="20878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8</xdr:row>
      <xdr:rowOff>137160</xdr:rowOff>
    </xdr:from>
    <xdr:to>
      <xdr:col>14</xdr:col>
      <xdr:colOff>601980</xdr:colOff>
      <xdr:row>13</xdr:row>
      <xdr:rowOff>60960</xdr:rowOff>
    </xdr:to>
    <mc:AlternateContent xmlns:mc="http://schemas.openxmlformats.org/markup-compatibility/2006" xmlns:a14="http://schemas.microsoft.com/office/drawing/2010/main">
      <mc:Choice Requires="a14">
        <xdr:graphicFrame macro="">
          <xdr:nvGraphicFramePr>
            <xdr:cNvPr id="10" name="Item 4">
              <a:extLst>
                <a:ext uri="{FF2B5EF4-FFF2-40B4-BE49-F238E27FC236}">
                  <a16:creationId xmlns:a16="http://schemas.microsoft.com/office/drawing/2014/main" id="{A3219C2B-040E-42CD-A2EB-3575C8DCD2A2}"/>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699260" y="1600200"/>
              <a:ext cx="743712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449580</xdr:colOff>
      <xdr:row>13</xdr:row>
      <xdr:rowOff>99060</xdr:rowOff>
    </xdr:from>
    <xdr:to>
      <xdr:col>3</xdr:col>
      <xdr:colOff>306704</xdr:colOff>
      <xdr:row>16</xdr:row>
      <xdr:rowOff>1904</xdr:rowOff>
    </xdr:to>
    <xdr:pic>
      <xdr:nvPicPr>
        <xdr:cNvPr id="11" name="Graphic 10" descr="Bar chart">
          <a:extLst>
            <a:ext uri="{FF2B5EF4-FFF2-40B4-BE49-F238E27FC236}">
              <a16:creationId xmlns:a16="http://schemas.microsoft.com/office/drawing/2014/main" id="{04E505E9-F276-41C7-986F-7655B60853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68780" y="2476500"/>
          <a:ext cx="466724" cy="451484"/>
        </a:xfrm>
        <a:prstGeom prst="rect">
          <a:avLst/>
        </a:prstGeom>
      </xdr:spPr>
    </xdr:pic>
    <xdr:clientData/>
  </xdr:twoCellAnchor>
  <xdr:twoCellAnchor editAs="oneCell">
    <xdr:from>
      <xdr:col>3</xdr:col>
      <xdr:colOff>304800</xdr:colOff>
      <xdr:row>13</xdr:row>
      <xdr:rowOff>129540</xdr:rowOff>
    </xdr:from>
    <xdr:to>
      <xdr:col>4</xdr:col>
      <xdr:colOff>469459</xdr:colOff>
      <xdr:row>16</xdr:row>
      <xdr:rowOff>25947</xdr:rowOff>
    </xdr:to>
    <xdr:pic>
      <xdr:nvPicPr>
        <xdr:cNvPr id="13" name="Picture 12">
          <a:extLst>
            <a:ext uri="{FF2B5EF4-FFF2-40B4-BE49-F238E27FC236}">
              <a16:creationId xmlns:a16="http://schemas.microsoft.com/office/drawing/2014/main" id="{8AFE11F7-900C-F950-F6ED-FD9FBD58CAFB}"/>
            </a:ext>
          </a:extLst>
        </xdr:cNvPr>
        <xdr:cNvPicPr>
          <a:picLocks noChangeAspect="1"/>
        </xdr:cNvPicPr>
      </xdr:nvPicPr>
      <xdr:blipFill>
        <a:blip xmlns:r="http://schemas.openxmlformats.org/officeDocument/2006/relationships" r:embed="rId3"/>
        <a:stretch>
          <a:fillRect/>
        </a:stretch>
      </xdr:blipFill>
      <xdr:spPr>
        <a:xfrm>
          <a:off x="2133600" y="2506980"/>
          <a:ext cx="774259" cy="445047"/>
        </a:xfrm>
        <a:prstGeom prst="rect">
          <a:avLst/>
        </a:prstGeom>
      </xdr:spPr>
    </xdr:pic>
    <xdr:clientData/>
  </xdr:twoCellAnchor>
  <xdr:twoCellAnchor>
    <xdr:from>
      <xdr:col>2</xdr:col>
      <xdr:colOff>487680</xdr:colOff>
      <xdr:row>16</xdr:row>
      <xdr:rowOff>38100</xdr:rowOff>
    </xdr:from>
    <xdr:to>
      <xdr:col>14</xdr:col>
      <xdr:colOff>586740</xdr:colOff>
      <xdr:row>28</xdr:row>
      <xdr:rowOff>76200</xdr:rowOff>
    </xdr:to>
    <xdr:sp macro="" textlink="">
      <xdr:nvSpPr>
        <xdr:cNvPr id="14" name="Rectangle 13">
          <a:extLst>
            <a:ext uri="{FF2B5EF4-FFF2-40B4-BE49-F238E27FC236}">
              <a16:creationId xmlns:a16="http://schemas.microsoft.com/office/drawing/2014/main" id="{8834FF3B-F684-C001-CC28-360188AA7C2C}"/>
            </a:ext>
          </a:extLst>
        </xdr:cNvPr>
        <xdr:cNvSpPr/>
      </xdr:nvSpPr>
      <xdr:spPr>
        <a:xfrm>
          <a:off x="1706880" y="2964180"/>
          <a:ext cx="7414260" cy="22326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17</xdr:row>
      <xdr:rowOff>137160</xdr:rowOff>
    </xdr:from>
    <xdr:to>
      <xdr:col>14</xdr:col>
      <xdr:colOff>403860</xdr:colOff>
      <xdr:row>23</xdr:row>
      <xdr:rowOff>30480</xdr:rowOff>
    </xdr:to>
    <xdr:sp macro="" textlink="">
      <xdr:nvSpPr>
        <xdr:cNvPr id="15" name="TextBox 14">
          <a:extLst>
            <a:ext uri="{FF2B5EF4-FFF2-40B4-BE49-F238E27FC236}">
              <a16:creationId xmlns:a16="http://schemas.microsoft.com/office/drawing/2014/main" id="{FF1953B8-42FC-B83A-D66A-B89261DF21A6}"/>
            </a:ext>
          </a:extLst>
        </xdr:cNvPr>
        <xdr:cNvSpPr txBox="1"/>
      </xdr:nvSpPr>
      <xdr:spPr>
        <a:xfrm>
          <a:off x="1828800" y="3246120"/>
          <a:ext cx="710946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1" u="sng">
              <a:solidFill>
                <a:srgbClr val="0070C0"/>
              </a:solidFill>
              <a:effectLst/>
              <a:latin typeface="+mn-lt"/>
              <a:ea typeface="+mn-ea"/>
              <a:cs typeface="+mn-cs"/>
            </a:rPr>
            <a:t>PROJECT</a:t>
          </a:r>
          <a:r>
            <a:rPr lang="en-US" sz="1600" b="1" i="1" u="sng" baseline="0">
              <a:solidFill>
                <a:srgbClr val="0070C0"/>
              </a:solidFill>
              <a:effectLst/>
              <a:latin typeface="+mn-lt"/>
              <a:ea typeface="+mn-ea"/>
              <a:cs typeface="+mn-cs"/>
            </a:rPr>
            <a:t> OF SALES  </a:t>
          </a:r>
          <a:r>
            <a:rPr lang="en-US" sz="1100" b="1" i="1" u="sng" baseline="0">
              <a:solidFill>
                <a:schemeClr val="dk1"/>
              </a:solidFill>
              <a:effectLst/>
              <a:latin typeface="+mn-lt"/>
              <a:ea typeface="+mn-ea"/>
              <a:cs typeface="+mn-cs"/>
            </a:rPr>
            <a:t>:-</a:t>
          </a:r>
          <a:r>
            <a:rPr lang="en-US" sz="1600" b="1" i="1" u="sng" baseline="0">
              <a:solidFill>
                <a:schemeClr val="dk1"/>
              </a:solidFill>
              <a:effectLst/>
              <a:latin typeface="+mn-lt"/>
              <a:ea typeface="+mn-ea"/>
              <a:cs typeface="+mn-cs"/>
            </a:rPr>
            <a:t>This project is complete base on sales product of computer according to the region , month and Product. Used various graph to visualise the sells of product .</a:t>
          </a:r>
          <a:endParaRPr lang="en-IN" sz="1100"/>
        </a:p>
      </xdr:txBody>
    </xdr:sp>
    <xdr:clientData/>
  </xdr:twoCellAnchor>
  <xdr:twoCellAnchor>
    <xdr:from>
      <xdr:col>9</xdr:col>
      <xdr:colOff>541020</xdr:colOff>
      <xdr:row>24</xdr:row>
      <xdr:rowOff>152400</xdr:rowOff>
    </xdr:from>
    <xdr:to>
      <xdr:col>14</xdr:col>
      <xdr:colOff>365760</xdr:colOff>
      <xdr:row>27</xdr:row>
      <xdr:rowOff>129540</xdr:rowOff>
    </xdr:to>
    <xdr:sp macro="" textlink="">
      <xdr:nvSpPr>
        <xdr:cNvPr id="16" name="TextBox 15">
          <a:extLst>
            <a:ext uri="{FF2B5EF4-FFF2-40B4-BE49-F238E27FC236}">
              <a16:creationId xmlns:a16="http://schemas.microsoft.com/office/drawing/2014/main" id="{4367C081-F53D-B41F-4BA0-E3276A1D861C}"/>
            </a:ext>
          </a:extLst>
        </xdr:cNvPr>
        <xdr:cNvSpPr txBox="1"/>
      </xdr:nvSpPr>
      <xdr:spPr>
        <a:xfrm>
          <a:off x="6027420" y="4541520"/>
          <a:ext cx="287274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PROJECT</a:t>
          </a:r>
          <a:r>
            <a:rPr lang="en-US" sz="1200" b="1" i="1" baseline="0">
              <a:solidFill>
                <a:schemeClr val="dk1"/>
              </a:solidFill>
              <a:effectLst/>
              <a:latin typeface="+mn-lt"/>
              <a:ea typeface="+mn-ea"/>
              <a:cs typeface="+mn-cs"/>
            </a:rPr>
            <a:t> DEVELOER :-</a:t>
          </a:r>
          <a:endParaRPr lang="en-IN" sz="1200">
            <a:effectLst/>
          </a:endParaRPr>
        </a:p>
        <a:p>
          <a:pPr algn="r"/>
          <a:r>
            <a:rPr lang="en-IN" sz="1200" b="1" u="sng"/>
            <a:t>                                    Komal Ankush</a:t>
          </a:r>
          <a:r>
            <a:rPr lang="en-IN" sz="1200" b="1" u="sng" baseline="0"/>
            <a:t> Warang</a:t>
          </a:r>
          <a:endParaRPr lang="en-IN" sz="1200" b="1" u="sng"/>
        </a:p>
      </xdr:txBody>
    </xdr:sp>
    <xdr:clientData/>
  </xdr:twoCellAnchor>
  <xdr:twoCellAnchor>
    <xdr:from>
      <xdr:col>0</xdr:col>
      <xdr:colOff>342900</xdr:colOff>
      <xdr:row>12</xdr:row>
      <xdr:rowOff>45720</xdr:rowOff>
    </xdr:from>
    <xdr:to>
      <xdr:col>2</xdr:col>
      <xdr:colOff>320040</xdr:colOff>
      <xdr:row>14</xdr:row>
      <xdr:rowOff>7620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DFBBE2D5-34F6-4047-A68C-2031EA71A61D}"/>
            </a:ext>
          </a:extLst>
        </xdr:cNvPr>
        <xdr:cNvSpPr/>
      </xdr:nvSpPr>
      <xdr:spPr>
        <a:xfrm>
          <a:off x="342900" y="224028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PRODUCTS</a:t>
          </a:r>
        </a:p>
      </xdr:txBody>
    </xdr:sp>
    <xdr:clientData/>
  </xdr:twoCellAnchor>
  <xdr:twoCellAnchor>
    <xdr:from>
      <xdr:col>0</xdr:col>
      <xdr:colOff>335280</xdr:colOff>
      <xdr:row>14</xdr:row>
      <xdr:rowOff>76200</xdr:rowOff>
    </xdr:from>
    <xdr:to>
      <xdr:col>2</xdr:col>
      <xdr:colOff>312420</xdr:colOff>
      <xdr:row>16</xdr:row>
      <xdr:rowOff>38100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78AFAA87-A435-479C-A765-DE2121DB0565}"/>
            </a:ext>
          </a:extLst>
        </xdr:cNvPr>
        <xdr:cNvSpPr/>
      </xdr:nvSpPr>
      <xdr:spPr>
        <a:xfrm>
          <a:off x="335280" y="263652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SALESMAN</a:t>
          </a:r>
        </a:p>
      </xdr:txBody>
    </xdr:sp>
    <xdr:clientData/>
  </xdr:twoCellAnchor>
  <xdr:twoCellAnchor>
    <xdr:from>
      <xdr:col>0</xdr:col>
      <xdr:colOff>335280</xdr:colOff>
      <xdr:row>16</xdr:row>
      <xdr:rowOff>99060</xdr:rowOff>
    </xdr:from>
    <xdr:to>
      <xdr:col>2</xdr:col>
      <xdr:colOff>312420</xdr:colOff>
      <xdr:row>18</xdr:row>
      <xdr:rowOff>60960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CB51C1D8-CA26-4CEC-A607-611C7EF596BB}"/>
            </a:ext>
          </a:extLst>
        </xdr:cNvPr>
        <xdr:cNvSpPr/>
      </xdr:nvSpPr>
      <xdr:spPr>
        <a:xfrm>
          <a:off x="335280" y="3025140"/>
          <a:ext cx="1196340" cy="327660"/>
        </a:xfrm>
        <a:prstGeom prst="roundRect">
          <a:avLst>
            <a:gd name="adj" fmla="val 329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ABOUT</a:t>
          </a:r>
        </a:p>
      </xdr:txBody>
    </xdr:sp>
    <xdr:clientData/>
  </xdr:twoCellAnchor>
  <xdr:twoCellAnchor>
    <xdr:from>
      <xdr:col>0</xdr:col>
      <xdr:colOff>350520</xdr:colOff>
      <xdr:row>10</xdr:row>
      <xdr:rowOff>22860</xdr:rowOff>
    </xdr:from>
    <xdr:to>
      <xdr:col>2</xdr:col>
      <xdr:colOff>327660</xdr:colOff>
      <xdr:row>11</xdr:row>
      <xdr:rowOff>167640</xdr:rowOff>
    </xdr:to>
    <xdr:sp macro="" textlink="">
      <xdr:nvSpPr>
        <xdr:cNvPr id="25" name="Rectangle: Rounded Corners 24">
          <a:hlinkClick xmlns:r="http://schemas.openxmlformats.org/officeDocument/2006/relationships" r:id="rId7"/>
          <a:extLst>
            <a:ext uri="{FF2B5EF4-FFF2-40B4-BE49-F238E27FC236}">
              <a16:creationId xmlns:a16="http://schemas.microsoft.com/office/drawing/2014/main" id="{3CE9EB37-9688-441F-9762-ECCAB9377F02}"/>
            </a:ext>
          </a:extLst>
        </xdr:cNvPr>
        <xdr:cNvSpPr/>
      </xdr:nvSpPr>
      <xdr:spPr>
        <a:xfrm>
          <a:off x="350520" y="1851660"/>
          <a:ext cx="1196340" cy="327660"/>
        </a:xfrm>
        <a:prstGeom prst="roundRect">
          <a:avLst>
            <a:gd name="adj" fmla="val 3294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Arial" panose="020B0604020202020204" pitchFamily="34" charset="0"/>
              <a:cs typeface="Arial" panose="020B0604020202020204" pitchFamily="34"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warang" refreshedDate="46245.762766898151" createdVersion="8" refreshedVersion="8" minRefreshableVersion="3" recordCount="250" xr:uid="{EA5DD4E3-4ADD-47B4-A6E2-2EBE5C1121F6}">
  <cacheSource type="worksheet">
    <worksheetSource name="Table1"/>
  </cacheSource>
  <cacheFields count="10">
    <cacheField name="S No." numFmtId="0">
      <sharedItems containsSemiMixedTypes="0" containsString="0" containsNumber="1" containsInteger="1" minValue="1" maxValue="250"/>
    </cacheField>
    <cacheField name="Date" numFmtId="164">
      <sharedItems containsSemiMixedTypes="0" containsNonDate="0" containsDate="1" containsString="0" minDate="2026-01-01T00:00:00" maxDate="2026-09-08T00:00:00" count="2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sharedItems>
      <fieldGroup par="9"/>
    </cacheField>
    <cacheField name="Salesman" numFmtId="0">
      <sharedItems count="6">
        <s v="Siddhu"/>
        <s v="Ramesh"/>
        <s v="Chandu"/>
        <s v="Ajit Kumar"/>
        <s v="Rohit Das"/>
        <s v="Amit"/>
      </sharedItems>
    </cacheField>
    <cacheField name="Region" numFmtId="0">
      <sharedItems count="4">
        <s v="East"/>
        <s v="West"/>
        <s v="South"/>
        <s v="North"/>
      </sharedItems>
    </cacheField>
    <cacheField name="Item" numFmtId="0">
      <sharedItems count="6">
        <s v="Mouse"/>
        <s v="Printer"/>
        <s v="Keyboard"/>
        <s v="Speaker"/>
        <s v="Monitor"/>
        <s v="Scanner"/>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Days (Date)" numFmtId="0" databaseField="0">
      <fieldGroup base="1">
        <rangePr groupBy="days" startDate="2026-01-01T00:00:00" endDate="2026-09-08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9-2026"/>
        </groupItems>
      </fieldGroup>
    </cacheField>
    <cacheField name="Months (Date)" numFmtId="0" databaseField="0">
      <fieldGroup base="1">
        <rangePr groupBy="months" startDate="2026-01-01T00:00:00" endDate="2026-09-08T00:00:00"/>
        <groupItems count="14">
          <s v="&lt;01-01-2026"/>
          <s v="Jan"/>
          <s v="Feb"/>
          <s v="Mar"/>
          <s v="Apr"/>
          <s v="May"/>
          <s v="Jun"/>
          <s v="Jul"/>
          <s v="Aug"/>
          <s v="Sep"/>
          <s v="Oct"/>
          <s v="Nov"/>
          <s v="Dec"/>
          <s v="&gt;08-09-2026"/>
        </groupItems>
      </fieldGroup>
    </cacheField>
  </cacheFields>
  <extLst>
    <ext xmlns:x14="http://schemas.microsoft.com/office/spreadsheetml/2009/9/main" uri="{725AE2AE-9491-48be-B2B4-4EB974FC3084}">
      <x14:pivotCacheDefinition pivotCacheId="109098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x v="0"/>
    <x v="0"/>
    <x v="0"/>
    <x v="0"/>
    <n v="7"/>
    <n v="210"/>
    <n v="1470"/>
  </r>
  <r>
    <n v="2"/>
    <x v="1"/>
    <x v="1"/>
    <x v="1"/>
    <x v="1"/>
    <n v="3"/>
    <n v="2100"/>
    <n v="6300"/>
  </r>
  <r>
    <n v="3"/>
    <x v="2"/>
    <x v="0"/>
    <x v="0"/>
    <x v="2"/>
    <n v="7"/>
    <n v="190"/>
    <n v="1330"/>
  </r>
  <r>
    <n v="4"/>
    <x v="3"/>
    <x v="2"/>
    <x v="0"/>
    <x v="3"/>
    <n v="5"/>
    <n v="300"/>
    <n v="1500"/>
  </r>
  <r>
    <n v="5"/>
    <x v="4"/>
    <x v="3"/>
    <x v="0"/>
    <x v="0"/>
    <n v="3"/>
    <n v="210"/>
    <n v="630"/>
  </r>
  <r>
    <n v="6"/>
    <x v="5"/>
    <x v="4"/>
    <x v="0"/>
    <x v="3"/>
    <n v="3"/>
    <n v="300"/>
    <n v="900"/>
  </r>
  <r>
    <n v="7"/>
    <x v="6"/>
    <x v="0"/>
    <x v="2"/>
    <x v="1"/>
    <n v="5"/>
    <n v="2100"/>
    <n v="10500"/>
  </r>
  <r>
    <n v="8"/>
    <x v="7"/>
    <x v="2"/>
    <x v="3"/>
    <x v="0"/>
    <n v="3"/>
    <n v="210"/>
    <n v="630"/>
  </r>
  <r>
    <n v="9"/>
    <x v="8"/>
    <x v="0"/>
    <x v="2"/>
    <x v="4"/>
    <n v="4"/>
    <n v="1200"/>
    <n v="4800"/>
  </r>
  <r>
    <n v="10"/>
    <x v="9"/>
    <x v="4"/>
    <x v="1"/>
    <x v="4"/>
    <n v="2"/>
    <n v="1200"/>
    <n v="2400"/>
  </r>
  <r>
    <n v="11"/>
    <x v="10"/>
    <x v="3"/>
    <x v="2"/>
    <x v="0"/>
    <n v="4"/>
    <n v="210"/>
    <n v="840"/>
  </r>
  <r>
    <n v="12"/>
    <x v="11"/>
    <x v="1"/>
    <x v="3"/>
    <x v="0"/>
    <n v="7"/>
    <n v="210"/>
    <n v="1470"/>
  </r>
  <r>
    <n v="13"/>
    <x v="12"/>
    <x v="5"/>
    <x v="0"/>
    <x v="5"/>
    <n v="2"/>
    <n v="1500"/>
    <n v="3000"/>
  </r>
  <r>
    <n v="14"/>
    <x v="13"/>
    <x v="2"/>
    <x v="3"/>
    <x v="2"/>
    <n v="6"/>
    <n v="190"/>
    <n v="1140"/>
  </r>
  <r>
    <n v="15"/>
    <x v="14"/>
    <x v="1"/>
    <x v="1"/>
    <x v="2"/>
    <n v="2"/>
    <n v="190"/>
    <n v="380"/>
  </r>
  <r>
    <n v="16"/>
    <x v="15"/>
    <x v="3"/>
    <x v="1"/>
    <x v="4"/>
    <n v="2"/>
    <n v="1200"/>
    <n v="2400"/>
  </r>
  <r>
    <n v="17"/>
    <x v="16"/>
    <x v="4"/>
    <x v="0"/>
    <x v="5"/>
    <n v="4"/>
    <n v="1500"/>
    <n v="6000"/>
  </r>
  <r>
    <n v="18"/>
    <x v="17"/>
    <x v="5"/>
    <x v="3"/>
    <x v="1"/>
    <n v="4"/>
    <n v="2100"/>
    <n v="8400"/>
  </r>
  <r>
    <n v="19"/>
    <x v="18"/>
    <x v="1"/>
    <x v="1"/>
    <x v="2"/>
    <n v="4"/>
    <n v="190"/>
    <n v="760"/>
  </r>
  <r>
    <n v="20"/>
    <x v="19"/>
    <x v="0"/>
    <x v="0"/>
    <x v="3"/>
    <n v="7"/>
    <n v="300"/>
    <n v="2100"/>
  </r>
  <r>
    <n v="21"/>
    <x v="20"/>
    <x v="4"/>
    <x v="1"/>
    <x v="1"/>
    <n v="5"/>
    <n v="2100"/>
    <n v="10500"/>
  </r>
  <r>
    <n v="22"/>
    <x v="21"/>
    <x v="5"/>
    <x v="3"/>
    <x v="2"/>
    <n v="7"/>
    <n v="190"/>
    <n v="1330"/>
  </r>
  <r>
    <n v="23"/>
    <x v="22"/>
    <x v="2"/>
    <x v="1"/>
    <x v="2"/>
    <n v="4"/>
    <n v="190"/>
    <n v="760"/>
  </r>
  <r>
    <n v="24"/>
    <x v="23"/>
    <x v="3"/>
    <x v="1"/>
    <x v="0"/>
    <n v="4"/>
    <n v="210"/>
    <n v="840"/>
  </r>
  <r>
    <n v="25"/>
    <x v="24"/>
    <x v="5"/>
    <x v="3"/>
    <x v="0"/>
    <n v="3"/>
    <n v="210"/>
    <n v="630"/>
  </r>
  <r>
    <n v="26"/>
    <x v="25"/>
    <x v="2"/>
    <x v="3"/>
    <x v="1"/>
    <n v="7"/>
    <n v="2100"/>
    <n v="14700"/>
  </r>
  <r>
    <n v="27"/>
    <x v="26"/>
    <x v="5"/>
    <x v="2"/>
    <x v="2"/>
    <n v="5"/>
    <n v="190"/>
    <n v="950"/>
  </r>
  <r>
    <n v="28"/>
    <x v="27"/>
    <x v="4"/>
    <x v="3"/>
    <x v="1"/>
    <n v="3"/>
    <n v="2100"/>
    <n v="6300"/>
  </r>
  <r>
    <n v="29"/>
    <x v="28"/>
    <x v="0"/>
    <x v="3"/>
    <x v="2"/>
    <n v="6"/>
    <n v="190"/>
    <n v="1140"/>
  </r>
  <r>
    <n v="30"/>
    <x v="29"/>
    <x v="5"/>
    <x v="2"/>
    <x v="4"/>
    <n v="3"/>
    <n v="1200"/>
    <n v="3600"/>
  </r>
  <r>
    <n v="31"/>
    <x v="30"/>
    <x v="4"/>
    <x v="2"/>
    <x v="0"/>
    <n v="2"/>
    <n v="210"/>
    <n v="420"/>
  </r>
  <r>
    <n v="32"/>
    <x v="31"/>
    <x v="3"/>
    <x v="1"/>
    <x v="2"/>
    <n v="3"/>
    <n v="190"/>
    <n v="570"/>
  </r>
  <r>
    <n v="33"/>
    <x v="32"/>
    <x v="0"/>
    <x v="2"/>
    <x v="3"/>
    <n v="2"/>
    <n v="300"/>
    <n v="600"/>
  </r>
  <r>
    <n v="34"/>
    <x v="33"/>
    <x v="5"/>
    <x v="2"/>
    <x v="3"/>
    <n v="5"/>
    <n v="300"/>
    <n v="1500"/>
  </r>
  <r>
    <n v="35"/>
    <x v="34"/>
    <x v="2"/>
    <x v="3"/>
    <x v="3"/>
    <n v="2"/>
    <n v="300"/>
    <n v="600"/>
  </r>
  <r>
    <n v="36"/>
    <x v="35"/>
    <x v="0"/>
    <x v="0"/>
    <x v="2"/>
    <n v="6"/>
    <n v="190"/>
    <n v="1140"/>
  </r>
  <r>
    <n v="37"/>
    <x v="36"/>
    <x v="1"/>
    <x v="3"/>
    <x v="0"/>
    <n v="4"/>
    <n v="210"/>
    <n v="840"/>
  </r>
  <r>
    <n v="38"/>
    <x v="37"/>
    <x v="5"/>
    <x v="1"/>
    <x v="5"/>
    <n v="2"/>
    <n v="1500"/>
    <n v="3000"/>
  </r>
  <r>
    <n v="39"/>
    <x v="38"/>
    <x v="0"/>
    <x v="3"/>
    <x v="3"/>
    <n v="3"/>
    <n v="300"/>
    <n v="900"/>
  </r>
  <r>
    <n v="40"/>
    <x v="39"/>
    <x v="2"/>
    <x v="0"/>
    <x v="2"/>
    <n v="4"/>
    <n v="190"/>
    <n v="760"/>
  </r>
  <r>
    <n v="41"/>
    <x v="40"/>
    <x v="0"/>
    <x v="1"/>
    <x v="1"/>
    <n v="4"/>
    <n v="2100"/>
    <n v="8400"/>
  </r>
  <r>
    <n v="42"/>
    <x v="41"/>
    <x v="4"/>
    <x v="0"/>
    <x v="3"/>
    <n v="4"/>
    <n v="300"/>
    <n v="1200"/>
  </r>
  <r>
    <n v="43"/>
    <x v="42"/>
    <x v="5"/>
    <x v="0"/>
    <x v="0"/>
    <n v="4"/>
    <n v="210"/>
    <n v="840"/>
  </r>
  <r>
    <n v="44"/>
    <x v="43"/>
    <x v="1"/>
    <x v="1"/>
    <x v="0"/>
    <n v="3"/>
    <n v="210"/>
    <n v="630"/>
  </r>
  <r>
    <n v="45"/>
    <x v="44"/>
    <x v="2"/>
    <x v="0"/>
    <x v="0"/>
    <n v="7"/>
    <n v="210"/>
    <n v="1470"/>
  </r>
  <r>
    <n v="46"/>
    <x v="45"/>
    <x v="5"/>
    <x v="0"/>
    <x v="3"/>
    <n v="3"/>
    <n v="300"/>
    <n v="900"/>
  </r>
  <r>
    <n v="47"/>
    <x v="46"/>
    <x v="4"/>
    <x v="2"/>
    <x v="3"/>
    <n v="3"/>
    <n v="300"/>
    <n v="900"/>
  </r>
  <r>
    <n v="48"/>
    <x v="47"/>
    <x v="1"/>
    <x v="2"/>
    <x v="1"/>
    <n v="6"/>
    <n v="2100"/>
    <n v="12600"/>
  </r>
  <r>
    <n v="49"/>
    <x v="48"/>
    <x v="0"/>
    <x v="1"/>
    <x v="2"/>
    <n v="4"/>
    <n v="190"/>
    <n v="760"/>
  </r>
  <r>
    <n v="50"/>
    <x v="49"/>
    <x v="5"/>
    <x v="3"/>
    <x v="5"/>
    <n v="6"/>
    <n v="1500"/>
    <n v="9000"/>
  </r>
  <r>
    <n v="51"/>
    <x v="50"/>
    <x v="5"/>
    <x v="0"/>
    <x v="1"/>
    <n v="3"/>
    <n v="2100"/>
    <n v="6300"/>
  </r>
  <r>
    <n v="52"/>
    <x v="51"/>
    <x v="3"/>
    <x v="3"/>
    <x v="0"/>
    <n v="6"/>
    <n v="210"/>
    <n v="1260"/>
  </r>
  <r>
    <n v="53"/>
    <x v="52"/>
    <x v="2"/>
    <x v="1"/>
    <x v="3"/>
    <n v="3"/>
    <n v="300"/>
    <n v="900"/>
  </r>
  <r>
    <n v="54"/>
    <x v="53"/>
    <x v="3"/>
    <x v="0"/>
    <x v="2"/>
    <n v="7"/>
    <n v="190"/>
    <n v="1330"/>
  </r>
  <r>
    <n v="55"/>
    <x v="54"/>
    <x v="3"/>
    <x v="1"/>
    <x v="0"/>
    <n v="2"/>
    <n v="210"/>
    <n v="420"/>
  </r>
  <r>
    <n v="56"/>
    <x v="55"/>
    <x v="1"/>
    <x v="0"/>
    <x v="3"/>
    <n v="3"/>
    <n v="300"/>
    <n v="900"/>
  </r>
  <r>
    <n v="57"/>
    <x v="56"/>
    <x v="1"/>
    <x v="2"/>
    <x v="1"/>
    <n v="6"/>
    <n v="2100"/>
    <n v="12600"/>
  </r>
  <r>
    <n v="58"/>
    <x v="57"/>
    <x v="4"/>
    <x v="2"/>
    <x v="1"/>
    <n v="5"/>
    <n v="2100"/>
    <n v="10500"/>
  </r>
  <r>
    <n v="59"/>
    <x v="58"/>
    <x v="5"/>
    <x v="1"/>
    <x v="0"/>
    <n v="2"/>
    <n v="210"/>
    <n v="420"/>
  </r>
  <r>
    <n v="60"/>
    <x v="59"/>
    <x v="0"/>
    <x v="2"/>
    <x v="4"/>
    <n v="5"/>
    <n v="1200"/>
    <n v="6000"/>
  </r>
  <r>
    <n v="61"/>
    <x v="60"/>
    <x v="5"/>
    <x v="2"/>
    <x v="2"/>
    <n v="2"/>
    <n v="190"/>
    <n v="380"/>
  </r>
  <r>
    <n v="62"/>
    <x v="61"/>
    <x v="0"/>
    <x v="0"/>
    <x v="0"/>
    <n v="5"/>
    <n v="210"/>
    <n v="1050"/>
  </r>
  <r>
    <n v="63"/>
    <x v="62"/>
    <x v="0"/>
    <x v="3"/>
    <x v="0"/>
    <n v="3"/>
    <n v="210"/>
    <n v="630"/>
  </r>
  <r>
    <n v="64"/>
    <x v="63"/>
    <x v="4"/>
    <x v="1"/>
    <x v="3"/>
    <n v="5"/>
    <n v="300"/>
    <n v="1500"/>
  </r>
  <r>
    <n v="65"/>
    <x v="64"/>
    <x v="4"/>
    <x v="2"/>
    <x v="1"/>
    <n v="4"/>
    <n v="2100"/>
    <n v="8400"/>
  </r>
  <r>
    <n v="66"/>
    <x v="65"/>
    <x v="5"/>
    <x v="1"/>
    <x v="0"/>
    <n v="5"/>
    <n v="210"/>
    <n v="1050"/>
  </r>
  <r>
    <n v="67"/>
    <x v="66"/>
    <x v="2"/>
    <x v="0"/>
    <x v="0"/>
    <n v="7"/>
    <n v="210"/>
    <n v="1470"/>
  </r>
  <r>
    <n v="68"/>
    <x v="67"/>
    <x v="2"/>
    <x v="0"/>
    <x v="0"/>
    <n v="3"/>
    <n v="210"/>
    <n v="630"/>
  </r>
  <r>
    <n v="69"/>
    <x v="68"/>
    <x v="4"/>
    <x v="2"/>
    <x v="5"/>
    <n v="5"/>
    <n v="1500"/>
    <n v="7500"/>
  </r>
  <r>
    <n v="70"/>
    <x v="69"/>
    <x v="4"/>
    <x v="2"/>
    <x v="0"/>
    <n v="3"/>
    <n v="210"/>
    <n v="630"/>
  </r>
  <r>
    <n v="71"/>
    <x v="70"/>
    <x v="5"/>
    <x v="0"/>
    <x v="5"/>
    <n v="4"/>
    <n v="1500"/>
    <n v="6000"/>
  </r>
  <r>
    <n v="72"/>
    <x v="71"/>
    <x v="5"/>
    <x v="3"/>
    <x v="5"/>
    <n v="7"/>
    <n v="1500"/>
    <n v="10500"/>
  </r>
  <r>
    <n v="73"/>
    <x v="72"/>
    <x v="0"/>
    <x v="2"/>
    <x v="1"/>
    <n v="3"/>
    <n v="2100"/>
    <n v="6300"/>
  </r>
  <r>
    <n v="74"/>
    <x v="73"/>
    <x v="1"/>
    <x v="1"/>
    <x v="0"/>
    <n v="6"/>
    <n v="210"/>
    <n v="1260"/>
  </r>
  <r>
    <n v="75"/>
    <x v="74"/>
    <x v="0"/>
    <x v="0"/>
    <x v="2"/>
    <n v="4"/>
    <n v="190"/>
    <n v="760"/>
  </r>
  <r>
    <n v="76"/>
    <x v="75"/>
    <x v="3"/>
    <x v="0"/>
    <x v="3"/>
    <n v="5"/>
    <n v="300"/>
    <n v="1500"/>
  </r>
  <r>
    <n v="77"/>
    <x v="76"/>
    <x v="2"/>
    <x v="1"/>
    <x v="0"/>
    <n v="6"/>
    <n v="210"/>
    <n v="1260"/>
  </r>
  <r>
    <n v="78"/>
    <x v="77"/>
    <x v="3"/>
    <x v="1"/>
    <x v="0"/>
    <n v="6"/>
    <n v="210"/>
    <n v="1260"/>
  </r>
  <r>
    <n v="79"/>
    <x v="78"/>
    <x v="3"/>
    <x v="1"/>
    <x v="5"/>
    <n v="2"/>
    <n v="1500"/>
    <n v="3000"/>
  </r>
  <r>
    <n v="80"/>
    <x v="79"/>
    <x v="2"/>
    <x v="1"/>
    <x v="3"/>
    <n v="6"/>
    <n v="300"/>
    <n v="1800"/>
  </r>
  <r>
    <n v="81"/>
    <x v="80"/>
    <x v="3"/>
    <x v="0"/>
    <x v="5"/>
    <n v="7"/>
    <n v="1500"/>
    <n v="10500"/>
  </r>
  <r>
    <n v="82"/>
    <x v="81"/>
    <x v="2"/>
    <x v="3"/>
    <x v="4"/>
    <n v="3"/>
    <n v="1200"/>
    <n v="3600"/>
  </r>
  <r>
    <n v="83"/>
    <x v="82"/>
    <x v="0"/>
    <x v="3"/>
    <x v="1"/>
    <n v="4"/>
    <n v="2100"/>
    <n v="8400"/>
  </r>
  <r>
    <n v="84"/>
    <x v="83"/>
    <x v="5"/>
    <x v="1"/>
    <x v="2"/>
    <n v="7"/>
    <n v="190"/>
    <n v="1330"/>
  </r>
  <r>
    <n v="85"/>
    <x v="84"/>
    <x v="1"/>
    <x v="2"/>
    <x v="4"/>
    <n v="2"/>
    <n v="1200"/>
    <n v="2400"/>
  </r>
  <r>
    <n v="86"/>
    <x v="85"/>
    <x v="3"/>
    <x v="2"/>
    <x v="3"/>
    <n v="6"/>
    <n v="300"/>
    <n v="1800"/>
  </r>
  <r>
    <n v="87"/>
    <x v="86"/>
    <x v="3"/>
    <x v="0"/>
    <x v="3"/>
    <n v="3"/>
    <n v="300"/>
    <n v="900"/>
  </r>
  <r>
    <n v="88"/>
    <x v="87"/>
    <x v="2"/>
    <x v="3"/>
    <x v="1"/>
    <n v="4"/>
    <n v="2100"/>
    <n v="8400"/>
  </r>
  <r>
    <n v="89"/>
    <x v="88"/>
    <x v="3"/>
    <x v="1"/>
    <x v="4"/>
    <n v="4"/>
    <n v="1200"/>
    <n v="4800"/>
  </r>
  <r>
    <n v="90"/>
    <x v="89"/>
    <x v="4"/>
    <x v="2"/>
    <x v="3"/>
    <n v="7"/>
    <n v="300"/>
    <n v="2100"/>
  </r>
  <r>
    <n v="91"/>
    <x v="90"/>
    <x v="1"/>
    <x v="0"/>
    <x v="2"/>
    <n v="6"/>
    <n v="190"/>
    <n v="1140"/>
  </r>
  <r>
    <n v="92"/>
    <x v="91"/>
    <x v="1"/>
    <x v="0"/>
    <x v="1"/>
    <n v="4"/>
    <n v="2100"/>
    <n v="8400"/>
  </r>
  <r>
    <n v="93"/>
    <x v="92"/>
    <x v="3"/>
    <x v="0"/>
    <x v="2"/>
    <n v="6"/>
    <n v="190"/>
    <n v="1140"/>
  </r>
  <r>
    <n v="94"/>
    <x v="93"/>
    <x v="4"/>
    <x v="3"/>
    <x v="4"/>
    <n v="6"/>
    <n v="1200"/>
    <n v="7200"/>
  </r>
  <r>
    <n v="95"/>
    <x v="94"/>
    <x v="4"/>
    <x v="3"/>
    <x v="1"/>
    <n v="7"/>
    <n v="2100"/>
    <n v="14700"/>
  </r>
  <r>
    <n v="96"/>
    <x v="95"/>
    <x v="0"/>
    <x v="3"/>
    <x v="3"/>
    <n v="5"/>
    <n v="300"/>
    <n v="1500"/>
  </r>
  <r>
    <n v="97"/>
    <x v="96"/>
    <x v="1"/>
    <x v="0"/>
    <x v="0"/>
    <n v="7"/>
    <n v="210"/>
    <n v="1470"/>
  </r>
  <r>
    <n v="98"/>
    <x v="97"/>
    <x v="5"/>
    <x v="3"/>
    <x v="0"/>
    <n v="2"/>
    <n v="210"/>
    <n v="420"/>
  </r>
  <r>
    <n v="99"/>
    <x v="98"/>
    <x v="1"/>
    <x v="1"/>
    <x v="2"/>
    <n v="4"/>
    <n v="190"/>
    <n v="760"/>
  </r>
  <r>
    <n v="100"/>
    <x v="99"/>
    <x v="4"/>
    <x v="2"/>
    <x v="3"/>
    <n v="7"/>
    <n v="300"/>
    <n v="2100"/>
  </r>
  <r>
    <n v="101"/>
    <x v="100"/>
    <x v="5"/>
    <x v="0"/>
    <x v="0"/>
    <n v="2"/>
    <n v="210"/>
    <n v="420"/>
  </r>
  <r>
    <n v="102"/>
    <x v="101"/>
    <x v="0"/>
    <x v="1"/>
    <x v="3"/>
    <n v="2"/>
    <n v="300"/>
    <n v="600"/>
  </r>
  <r>
    <n v="103"/>
    <x v="102"/>
    <x v="1"/>
    <x v="1"/>
    <x v="5"/>
    <n v="3"/>
    <n v="1500"/>
    <n v="4500"/>
  </r>
  <r>
    <n v="104"/>
    <x v="103"/>
    <x v="3"/>
    <x v="3"/>
    <x v="4"/>
    <n v="2"/>
    <n v="1200"/>
    <n v="2400"/>
  </r>
  <r>
    <n v="105"/>
    <x v="104"/>
    <x v="1"/>
    <x v="1"/>
    <x v="2"/>
    <n v="3"/>
    <n v="190"/>
    <n v="570"/>
  </r>
  <r>
    <n v="106"/>
    <x v="105"/>
    <x v="0"/>
    <x v="0"/>
    <x v="4"/>
    <n v="6"/>
    <n v="1200"/>
    <n v="7200"/>
  </r>
  <r>
    <n v="107"/>
    <x v="106"/>
    <x v="5"/>
    <x v="1"/>
    <x v="1"/>
    <n v="3"/>
    <n v="2100"/>
    <n v="6300"/>
  </r>
  <r>
    <n v="108"/>
    <x v="107"/>
    <x v="4"/>
    <x v="2"/>
    <x v="0"/>
    <n v="3"/>
    <n v="210"/>
    <n v="630"/>
  </r>
  <r>
    <n v="109"/>
    <x v="108"/>
    <x v="0"/>
    <x v="3"/>
    <x v="5"/>
    <n v="7"/>
    <n v="1500"/>
    <n v="10500"/>
  </r>
  <r>
    <n v="110"/>
    <x v="109"/>
    <x v="0"/>
    <x v="1"/>
    <x v="4"/>
    <n v="3"/>
    <n v="1200"/>
    <n v="3600"/>
  </r>
  <r>
    <n v="111"/>
    <x v="110"/>
    <x v="0"/>
    <x v="0"/>
    <x v="5"/>
    <n v="2"/>
    <n v="1500"/>
    <n v="3000"/>
  </r>
  <r>
    <n v="112"/>
    <x v="111"/>
    <x v="5"/>
    <x v="1"/>
    <x v="1"/>
    <n v="5"/>
    <n v="2100"/>
    <n v="10500"/>
  </r>
  <r>
    <n v="113"/>
    <x v="112"/>
    <x v="1"/>
    <x v="3"/>
    <x v="1"/>
    <n v="3"/>
    <n v="2100"/>
    <n v="6300"/>
  </r>
  <r>
    <n v="114"/>
    <x v="113"/>
    <x v="3"/>
    <x v="1"/>
    <x v="5"/>
    <n v="4"/>
    <n v="1500"/>
    <n v="6000"/>
  </r>
  <r>
    <n v="115"/>
    <x v="114"/>
    <x v="1"/>
    <x v="0"/>
    <x v="4"/>
    <n v="4"/>
    <n v="1200"/>
    <n v="4800"/>
  </r>
  <r>
    <n v="116"/>
    <x v="115"/>
    <x v="0"/>
    <x v="2"/>
    <x v="2"/>
    <n v="6"/>
    <n v="190"/>
    <n v="1140"/>
  </r>
  <r>
    <n v="117"/>
    <x v="116"/>
    <x v="1"/>
    <x v="0"/>
    <x v="0"/>
    <n v="4"/>
    <n v="210"/>
    <n v="840"/>
  </r>
  <r>
    <n v="118"/>
    <x v="117"/>
    <x v="4"/>
    <x v="3"/>
    <x v="0"/>
    <n v="2"/>
    <n v="210"/>
    <n v="420"/>
  </r>
  <r>
    <n v="119"/>
    <x v="118"/>
    <x v="2"/>
    <x v="2"/>
    <x v="4"/>
    <n v="7"/>
    <n v="1200"/>
    <n v="8400"/>
  </r>
  <r>
    <n v="120"/>
    <x v="119"/>
    <x v="1"/>
    <x v="2"/>
    <x v="3"/>
    <n v="6"/>
    <n v="300"/>
    <n v="1800"/>
  </r>
  <r>
    <n v="121"/>
    <x v="120"/>
    <x v="3"/>
    <x v="2"/>
    <x v="3"/>
    <n v="3"/>
    <n v="300"/>
    <n v="900"/>
  </r>
  <r>
    <n v="122"/>
    <x v="121"/>
    <x v="1"/>
    <x v="0"/>
    <x v="2"/>
    <n v="5"/>
    <n v="190"/>
    <n v="950"/>
  </r>
  <r>
    <n v="123"/>
    <x v="122"/>
    <x v="3"/>
    <x v="1"/>
    <x v="4"/>
    <n v="5"/>
    <n v="1200"/>
    <n v="6000"/>
  </r>
  <r>
    <n v="124"/>
    <x v="123"/>
    <x v="3"/>
    <x v="3"/>
    <x v="3"/>
    <n v="4"/>
    <n v="300"/>
    <n v="1200"/>
  </r>
  <r>
    <n v="125"/>
    <x v="124"/>
    <x v="0"/>
    <x v="0"/>
    <x v="2"/>
    <n v="4"/>
    <n v="190"/>
    <n v="760"/>
  </r>
  <r>
    <n v="126"/>
    <x v="125"/>
    <x v="2"/>
    <x v="3"/>
    <x v="2"/>
    <n v="5"/>
    <n v="190"/>
    <n v="950"/>
  </r>
  <r>
    <n v="127"/>
    <x v="126"/>
    <x v="1"/>
    <x v="2"/>
    <x v="2"/>
    <n v="4"/>
    <n v="190"/>
    <n v="760"/>
  </r>
  <r>
    <n v="128"/>
    <x v="127"/>
    <x v="2"/>
    <x v="1"/>
    <x v="1"/>
    <n v="5"/>
    <n v="2100"/>
    <n v="10500"/>
  </r>
  <r>
    <n v="129"/>
    <x v="128"/>
    <x v="0"/>
    <x v="2"/>
    <x v="2"/>
    <n v="7"/>
    <n v="190"/>
    <n v="1330"/>
  </r>
  <r>
    <n v="130"/>
    <x v="129"/>
    <x v="4"/>
    <x v="3"/>
    <x v="5"/>
    <n v="6"/>
    <n v="1500"/>
    <n v="9000"/>
  </r>
  <r>
    <n v="131"/>
    <x v="130"/>
    <x v="3"/>
    <x v="3"/>
    <x v="4"/>
    <n v="3"/>
    <n v="1200"/>
    <n v="3600"/>
  </r>
  <r>
    <n v="132"/>
    <x v="131"/>
    <x v="5"/>
    <x v="3"/>
    <x v="5"/>
    <n v="5"/>
    <n v="1500"/>
    <n v="7500"/>
  </r>
  <r>
    <n v="133"/>
    <x v="132"/>
    <x v="5"/>
    <x v="1"/>
    <x v="3"/>
    <n v="5"/>
    <n v="300"/>
    <n v="1500"/>
  </r>
  <r>
    <n v="134"/>
    <x v="133"/>
    <x v="0"/>
    <x v="1"/>
    <x v="2"/>
    <n v="2"/>
    <n v="190"/>
    <n v="380"/>
  </r>
  <r>
    <n v="135"/>
    <x v="134"/>
    <x v="1"/>
    <x v="3"/>
    <x v="0"/>
    <n v="3"/>
    <n v="210"/>
    <n v="630"/>
  </r>
  <r>
    <n v="136"/>
    <x v="135"/>
    <x v="0"/>
    <x v="3"/>
    <x v="1"/>
    <n v="3"/>
    <n v="2100"/>
    <n v="6300"/>
  </r>
  <r>
    <n v="137"/>
    <x v="136"/>
    <x v="4"/>
    <x v="0"/>
    <x v="0"/>
    <n v="3"/>
    <n v="210"/>
    <n v="630"/>
  </r>
  <r>
    <n v="138"/>
    <x v="137"/>
    <x v="5"/>
    <x v="0"/>
    <x v="5"/>
    <n v="5"/>
    <n v="1500"/>
    <n v="7500"/>
  </r>
  <r>
    <n v="139"/>
    <x v="138"/>
    <x v="0"/>
    <x v="1"/>
    <x v="2"/>
    <n v="7"/>
    <n v="190"/>
    <n v="1330"/>
  </r>
  <r>
    <n v="140"/>
    <x v="139"/>
    <x v="5"/>
    <x v="2"/>
    <x v="5"/>
    <n v="3"/>
    <n v="1500"/>
    <n v="4500"/>
  </r>
  <r>
    <n v="141"/>
    <x v="140"/>
    <x v="4"/>
    <x v="0"/>
    <x v="0"/>
    <n v="5"/>
    <n v="210"/>
    <n v="1050"/>
  </r>
  <r>
    <n v="142"/>
    <x v="141"/>
    <x v="4"/>
    <x v="1"/>
    <x v="2"/>
    <n v="6"/>
    <n v="190"/>
    <n v="1140"/>
  </r>
  <r>
    <n v="143"/>
    <x v="142"/>
    <x v="5"/>
    <x v="0"/>
    <x v="3"/>
    <n v="3"/>
    <n v="300"/>
    <n v="900"/>
  </r>
  <r>
    <n v="144"/>
    <x v="143"/>
    <x v="3"/>
    <x v="2"/>
    <x v="1"/>
    <n v="5"/>
    <n v="2100"/>
    <n v="10500"/>
  </r>
  <r>
    <n v="145"/>
    <x v="144"/>
    <x v="0"/>
    <x v="3"/>
    <x v="5"/>
    <n v="6"/>
    <n v="1500"/>
    <n v="9000"/>
  </r>
  <r>
    <n v="146"/>
    <x v="145"/>
    <x v="0"/>
    <x v="2"/>
    <x v="3"/>
    <n v="5"/>
    <n v="300"/>
    <n v="1500"/>
  </r>
  <r>
    <n v="147"/>
    <x v="146"/>
    <x v="4"/>
    <x v="2"/>
    <x v="5"/>
    <n v="4"/>
    <n v="1500"/>
    <n v="6000"/>
  </r>
  <r>
    <n v="148"/>
    <x v="147"/>
    <x v="4"/>
    <x v="3"/>
    <x v="3"/>
    <n v="5"/>
    <n v="300"/>
    <n v="1500"/>
  </r>
  <r>
    <n v="149"/>
    <x v="148"/>
    <x v="0"/>
    <x v="1"/>
    <x v="4"/>
    <n v="5"/>
    <n v="1200"/>
    <n v="6000"/>
  </r>
  <r>
    <n v="150"/>
    <x v="149"/>
    <x v="3"/>
    <x v="3"/>
    <x v="1"/>
    <n v="4"/>
    <n v="2100"/>
    <n v="8400"/>
  </r>
  <r>
    <n v="151"/>
    <x v="150"/>
    <x v="1"/>
    <x v="3"/>
    <x v="3"/>
    <n v="2"/>
    <n v="300"/>
    <n v="600"/>
  </r>
  <r>
    <n v="152"/>
    <x v="151"/>
    <x v="4"/>
    <x v="1"/>
    <x v="1"/>
    <n v="5"/>
    <n v="2100"/>
    <n v="10500"/>
  </r>
  <r>
    <n v="153"/>
    <x v="152"/>
    <x v="0"/>
    <x v="1"/>
    <x v="2"/>
    <n v="3"/>
    <n v="190"/>
    <n v="570"/>
  </r>
  <r>
    <n v="154"/>
    <x v="153"/>
    <x v="3"/>
    <x v="2"/>
    <x v="5"/>
    <n v="4"/>
    <n v="1500"/>
    <n v="6000"/>
  </r>
  <r>
    <n v="155"/>
    <x v="154"/>
    <x v="2"/>
    <x v="2"/>
    <x v="5"/>
    <n v="2"/>
    <n v="1500"/>
    <n v="3000"/>
  </r>
  <r>
    <n v="156"/>
    <x v="155"/>
    <x v="4"/>
    <x v="2"/>
    <x v="5"/>
    <n v="6"/>
    <n v="1500"/>
    <n v="9000"/>
  </r>
  <r>
    <n v="157"/>
    <x v="156"/>
    <x v="0"/>
    <x v="0"/>
    <x v="3"/>
    <n v="5"/>
    <n v="300"/>
    <n v="1500"/>
  </r>
  <r>
    <n v="158"/>
    <x v="157"/>
    <x v="5"/>
    <x v="0"/>
    <x v="4"/>
    <n v="4"/>
    <n v="1200"/>
    <n v="4800"/>
  </r>
  <r>
    <n v="159"/>
    <x v="158"/>
    <x v="5"/>
    <x v="2"/>
    <x v="3"/>
    <n v="7"/>
    <n v="300"/>
    <n v="2100"/>
  </r>
  <r>
    <n v="160"/>
    <x v="159"/>
    <x v="0"/>
    <x v="1"/>
    <x v="5"/>
    <n v="3"/>
    <n v="1500"/>
    <n v="4500"/>
  </r>
  <r>
    <n v="161"/>
    <x v="160"/>
    <x v="1"/>
    <x v="2"/>
    <x v="5"/>
    <n v="2"/>
    <n v="1500"/>
    <n v="3000"/>
  </r>
  <r>
    <n v="162"/>
    <x v="161"/>
    <x v="5"/>
    <x v="3"/>
    <x v="2"/>
    <n v="7"/>
    <n v="190"/>
    <n v="1330"/>
  </r>
  <r>
    <n v="163"/>
    <x v="162"/>
    <x v="5"/>
    <x v="1"/>
    <x v="5"/>
    <n v="3"/>
    <n v="1500"/>
    <n v="4500"/>
  </r>
  <r>
    <n v="164"/>
    <x v="163"/>
    <x v="2"/>
    <x v="0"/>
    <x v="5"/>
    <n v="6"/>
    <n v="1500"/>
    <n v="9000"/>
  </r>
  <r>
    <n v="165"/>
    <x v="164"/>
    <x v="2"/>
    <x v="0"/>
    <x v="0"/>
    <n v="7"/>
    <n v="210"/>
    <n v="1470"/>
  </r>
  <r>
    <n v="166"/>
    <x v="165"/>
    <x v="5"/>
    <x v="1"/>
    <x v="5"/>
    <n v="3"/>
    <n v="1500"/>
    <n v="4500"/>
  </r>
  <r>
    <n v="167"/>
    <x v="166"/>
    <x v="3"/>
    <x v="3"/>
    <x v="5"/>
    <n v="4"/>
    <n v="1500"/>
    <n v="6000"/>
  </r>
  <r>
    <n v="168"/>
    <x v="167"/>
    <x v="4"/>
    <x v="2"/>
    <x v="4"/>
    <n v="4"/>
    <n v="1200"/>
    <n v="4800"/>
  </r>
  <r>
    <n v="169"/>
    <x v="168"/>
    <x v="5"/>
    <x v="3"/>
    <x v="5"/>
    <n v="4"/>
    <n v="1500"/>
    <n v="6000"/>
  </r>
  <r>
    <n v="170"/>
    <x v="169"/>
    <x v="3"/>
    <x v="2"/>
    <x v="0"/>
    <n v="7"/>
    <n v="210"/>
    <n v="1470"/>
  </r>
  <r>
    <n v="171"/>
    <x v="170"/>
    <x v="2"/>
    <x v="0"/>
    <x v="4"/>
    <n v="3"/>
    <n v="1200"/>
    <n v="3600"/>
  </r>
  <r>
    <n v="172"/>
    <x v="171"/>
    <x v="0"/>
    <x v="0"/>
    <x v="2"/>
    <n v="2"/>
    <n v="190"/>
    <n v="380"/>
  </r>
  <r>
    <n v="173"/>
    <x v="172"/>
    <x v="3"/>
    <x v="1"/>
    <x v="1"/>
    <n v="2"/>
    <n v="2100"/>
    <n v="4200"/>
  </r>
  <r>
    <n v="174"/>
    <x v="173"/>
    <x v="2"/>
    <x v="1"/>
    <x v="1"/>
    <n v="3"/>
    <n v="2100"/>
    <n v="6300"/>
  </r>
  <r>
    <n v="175"/>
    <x v="174"/>
    <x v="5"/>
    <x v="0"/>
    <x v="3"/>
    <n v="3"/>
    <n v="300"/>
    <n v="900"/>
  </r>
  <r>
    <n v="176"/>
    <x v="175"/>
    <x v="5"/>
    <x v="3"/>
    <x v="4"/>
    <n v="3"/>
    <n v="1200"/>
    <n v="3600"/>
  </r>
  <r>
    <n v="177"/>
    <x v="176"/>
    <x v="2"/>
    <x v="0"/>
    <x v="1"/>
    <n v="4"/>
    <n v="2100"/>
    <n v="8400"/>
  </r>
  <r>
    <n v="178"/>
    <x v="177"/>
    <x v="3"/>
    <x v="0"/>
    <x v="4"/>
    <n v="6"/>
    <n v="1200"/>
    <n v="7200"/>
  </r>
  <r>
    <n v="179"/>
    <x v="178"/>
    <x v="0"/>
    <x v="2"/>
    <x v="5"/>
    <n v="7"/>
    <n v="1500"/>
    <n v="10500"/>
  </r>
  <r>
    <n v="180"/>
    <x v="179"/>
    <x v="4"/>
    <x v="0"/>
    <x v="3"/>
    <n v="7"/>
    <n v="300"/>
    <n v="2100"/>
  </r>
  <r>
    <n v="181"/>
    <x v="180"/>
    <x v="0"/>
    <x v="1"/>
    <x v="0"/>
    <n v="7"/>
    <n v="210"/>
    <n v="1470"/>
  </r>
  <r>
    <n v="182"/>
    <x v="181"/>
    <x v="1"/>
    <x v="0"/>
    <x v="3"/>
    <n v="2"/>
    <n v="300"/>
    <n v="600"/>
  </r>
  <r>
    <n v="183"/>
    <x v="182"/>
    <x v="1"/>
    <x v="2"/>
    <x v="2"/>
    <n v="4"/>
    <n v="190"/>
    <n v="760"/>
  </r>
  <r>
    <n v="184"/>
    <x v="183"/>
    <x v="3"/>
    <x v="3"/>
    <x v="0"/>
    <n v="5"/>
    <n v="210"/>
    <n v="1050"/>
  </r>
  <r>
    <n v="185"/>
    <x v="184"/>
    <x v="5"/>
    <x v="0"/>
    <x v="5"/>
    <n v="4"/>
    <n v="1500"/>
    <n v="6000"/>
  </r>
  <r>
    <n v="186"/>
    <x v="185"/>
    <x v="0"/>
    <x v="2"/>
    <x v="2"/>
    <n v="3"/>
    <n v="190"/>
    <n v="570"/>
  </r>
  <r>
    <n v="187"/>
    <x v="186"/>
    <x v="5"/>
    <x v="1"/>
    <x v="2"/>
    <n v="6"/>
    <n v="190"/>
    <n v="1140"/>
  </r>
  <r>
    <n v="188"/>
    <x v="187"/>
    <x v="0"/>
    <x v="3"/>
    <x v="3"/>
    <n v="6"/>
    <n v="300"/>
    <n v="1800"/>
  </r>
  <r>
    <n v="189"/>
    <x v="188"/>
    <x v="5"/>
    <x v="2"/>
    <x v="5"/>
    <n v="7"/>
    <n v="1500"/>
    <n v="10500"/>
  </r>
  <r>
    <n v="190"/>
    <x v="189"/>
    <x v="2"/>
    <x v="3"/>
    <x v="4"/>
    <n v="3"/>
    <n v="1200"/>
    <n v="3600"/>
  </r>
  <r>
    <n v="191"/>
    <x v="190"/>
    <x v="3"/>
    <x v="3"/>
    <x v="5"/>
    <n v="3"/>
    <n v="1500"/>
    <n v="4500"/>
  </r>
  <r>
    <n v="192"/>
    <x v="191"/>
    <x v="5"/>
    <x v="2"/>
    <x v="4"/>
    <n v="2"/>
    <n v="1200"/>
    <n v="2400"/>
  </r>
  <r>
    <n v="193"/>
    <x v="192"/>
    <x v="5"/>
    <x v="3"/>
    <x v="1"/>
    <n v="5"/>
    <n v="2100"/>
    <n v="10500"/>
  </r>
  <r>
    <n v="194"/>
    <x v="193"/>
    <x v="4"/>
    <x v="3"/>
    <x v="4"/>
    <n v="4"/>
    <n v="1200"/>
    <n v="4800"/>
  </r>
  <r>
    <n v="195"/>
    <x v="194"/>
    <x v="1"/>
    <x v="3"/>
    <x v="3"/>
    <n v="2"/>
    <n v="300"/>
    <n v="600"/>
  </r>
  <r>
    <n v="196"/>
    <x v="195"/>
    <x v="2"/>
    <x v="1"/>
    <x v="0"/>
    <n v="3"/>
    <n v="210"/>
    <n v="630"/>
  </r>
  <r>
    <n v="197"/>
    <x v="196"/>
    <x v="0"/>
    <x v="2"/>
    <x v="5"/>
    <n v="6"/>
    <n v="1500"/>
    <n v="9000"/>
  </r>
  <r>
    <n v="198"/>
    <x v="197"/>
    <x v="4"/>
    <x v="2"/>
    <x v="2"/>
    <n v="7"/>
    <n v="190"/>
    <n v="1330"/>
  </r>
  <r>
    <n v="199"/>
    <x v="198"/>
    <x v="5"/>
    <x v="2"/>
    <x v="0"/>
    <n v="2"/>
    <n v="210"/>
    <n v="420"/>
  </r>
  <r>
    <n v="200"/>
    <x v="199"/>
    <x v="1"/>
    <x v="1"/>
    <x v="5"/>
    <n v="7"/>
    <n v="1500"/>
    <n v="10500"/>
  </r>
  <r>
    <n v="201"/>
    <x v="200"/>
    <x v="4"/>
    <x v="3"/>
    <x v="2"/>
    <n v="6"/>
    <n v="190"/>
    <n v="1140"/>
  </r>
  <r>
    <n v="202"/>
    <x v="201"/>
    <x v="1"/>
    <x v="2"/>
    <x v="3"/>
    <n v="6"/>
    <n v="300"/>
    <n v="1800"/>
  </r>
  <r>
    <n v="203"/>
    <x v="202"/>
    <x v="1"/>
    <x v="2"/>
    <x v="2"/>
    <n v="6"/>
    <n v="190"/>
    <n v="1140"/>
  </r>
  <r>
    <n v="204"/>
    <x v="203"/>
    <x v="1"/>
    <x v="3"/>
    <x v="2"/>
    <n v="5"/>
    <n v="190"/>
    <n v="950"/>
  </r>
  <r>
    <n v="205"/>
    <x v="204"/>
    <x v="1"/>
    <x v="3"/>
    <x v="4"/>
    <n v="3"/>
    <n v="1200"/>
    <n v="3600"/>
  </r>
  <r>
    <n v="206"/>
    <x v="205"/>
    <x v="3"/>
    <x v="1"/>
    <x v="4"/>
    <n v="2"/>
    <n v="1200"/>
    <n v="2400"/>
  </r>
  <r>
    <n v="207"/>
    <x v="206"/>
    <x v="0"/>
    <x v="1"/>
    <x v="1"/>
    <n v="3"/>
    <n v="2100"/>
    <n v="6300"/>
  </r>
  <r>
    <n v="208"/>
    <x v="207"/>
    <x v="0"/>
    <x v="2"/>
    <x v="4"/>
    <n v="7"/>
    <n v="1200"/>
    <n v="8400"/>
  </r>
  <r>
    <n v="209"/>
    <x v="208"/>
    <x v="2"/>
    <x v="3"/>
    <x v="0"/>
    <n v="3"/>
    <n v="210"/>
    <n v="630"/>
  </r>
  <r>
    <n v="210"/>
    <x v="209"/>
    <x v="1"/>
    <x v="1"/>
    <x v="4"/>
    <n v="3"/>
    <n v="1200"/>
    <n v="3600"/>
  </r>
  <r>
    <n v="211"/>
    <x v="210"/>
    <x v="1"/>
    <x v="0"/>
    <x v="2"/>
    <n v="6"/>
    <n v="190"/>
    <n v="1140"/>
  </r>
  <r>
    <n v="212"/>
    <x v="211"/>
    <x v="4"/>
    <x v="3"/>
    <x v="0"/>
    <n v="2"/>
    <n v="210"/>
    <n v="420"/>
  </r>
  <r>
    <n v="213"/>
    <x v="212"/>
    <x v="2"/>
    <x v="3"/>
    <x v="2"/>
    <n v="3"/>
    <n v="190"/>
    <n v="570"/>
  </r>
  <r>
    <n v="214"/>
    <x v="213"/>
    <x v="0"/>
    <x v="2"/>
    <x v="0"/>
    <n v="2"/>
    <n v="210"/>
    <n v="420"/>
  </r>
  <r>
    <n v="215"/>
    <x v="214"/>
    <x v="2"/>
    <x v="3"/>
    <x v="5"/>
    <n v="5"/>
    <n v="1500"/>
    <n v="7500"/>
  </r>
  <r>
    <n v="216"/>
    <x v="215"/>
    <x v="5"/>
    <x v="3"/>
    <x v="1"/>
    <n v="2"/>
    <n v="2100"/>
    <n v="4200"/>
  </r>
  <r>
    <n v="217"/>
    <x v="216"/>
    <x v="1"/>
    <x v="2"/>
    <x v="0"/>
    <n v="2"/>
    <n v="210"/>
    <n v="420"/>
  </r>
  <r>
    <n v="218"/>
    <x v="217"/>
    <x v="5"/>
    <x v="2"/>
    <x v="0"/>
    <n v="6"/>
    <n v="210"/>
    <n v="1260"/>
  </r>
  <r>
    <n v="219"/>
    <x v="218"/>
    <x v="0"/>
    <x v="0"/>
    <x v="1"/>
    <n v="3"/>
    <n v="2100"/>
    <n v="6300"/>
  </r>
  <r>
    <n v="220"/>
    <x v="219"/>
    <x v="2"/>
    <x v="3"/>
    <x v="0"/>
    <n v="3"/>
    <n v="210"/>
    <n v="630"/>
  </r>
  <r>
    <n v="221"/>
    <x v="220"/>
    <x v="3"/>
    <x v="2"/>
    <x v="3"/>
    <n v="6"/>
    <n v="300"/>
    <n v="1800"/>
  </r>
  <r>
    <n v="222"/>
    <x v="221"/>
    <x v="2"/>
    <x v="1"/>
    <x v="3"/>
    <n v="5"/>
    <n v="300"/>
    <n v="1500"/>
  </r>
  <r>
    <n v="223"/>
    <x v="222"/>
    <x v="5"/>
    <x v="2"/>
    <x v="4"/>
    <n v="6"/>
    <n v="1200"/>
    <n v="7200"/>
  </r>
  <r>
    <n v="224"/>
    <x v="223"/>
    <x v="5"/>
    <x v="3"/>
    <x v="3"/>
    <n v="6"/>
    <n v="300"/>
    <n v="1800"/>
  </r>
  <r>
    <n v="225"/>
    <x v="224"/>
    <x v="3"/>
    <x v="0"/>
    <x v="1"/>
    <n v="7"/>
    <n v="2100"/>
    <n v="14700"/>
  </r>
  <r>
    <n v="226"/>
    <x v="225"/>
    <x v="4"/>
    <x v="3"/>
    <x v="2"/>
    <n v="2"/>
    <n v="190"/>
    <n v="380"/>
  </r>
  <r>
    <n v="227"/>
    <x v="226"/>
    <x v="4"/>
    <x v="1"/>
    <x v="1"/>
    <n v="6"/>
    <n v="2100"/>
    <n v="12600"/>
  </r>
  <r>
    <n v="228"/>
    <x v="227"/>
    <x v="3"/>
    <x v="1"/>
    <x v="0"/>
    <n v="5"/>
    <n v="210"/>
    <n v="1050"/>
  </r>
  <r>
    <n v="229"/>
    <x v="228"/>
    <x v="5"/>
    <x v="2"/>
    <x v="4"/>
    <n v="2"/>
    <n v="1200"/>
    <n v="2400"/>
  </r>
  <r>
    <n v="230"/>
    <x v="229"/>
    <x v="4"/>
    <x v="3"/>
    <x v="2"/>
    <n v="4"/>
    <n v="190"/>
    <n v="760"/>
  </r>
  <r>
    <n v="231"/>
    <x v="230"/>
    <x v="0"/>
    <x v="2"/>
    <x v="0"/>
    <n v="7"/>
    <n v="210"/>
    <n v="1470"/>
  </r>
  <r>
    <n v="232"/>
    <x v="231"/>
    <x v="4"/>
    <x v="3"/>
    <x v="2"/>
    <n v="6"/>
    <n v="190"/>
    <n v="1140"/>
  </r>
  <r>
    <n v="233"/>
    <x v="232"/>
    <x v="0"/>
    <x v="1"/>
    <x v="5"/>
    <n v="2"/>
    <n v="1500"/>
    <n v="3000"/>
  </r>
  <r>
    <n v="234"/>
    <x v="233"/>
    <x v="2"/>
    <x v="1"/>
    <x v="2"/>
    <n v="3"/>
    <n v="190"/>
    <n v="570"/>
  </r>
  <r>
    <n v="235"/>
    <x v="234"/>
    <x v="1"/>
    <x v="1"/>
    <x v="0"/>
    <n v="2"/>
    <n v="210"/>
    <n v="420"/>
  </r>
  <r>
    <n v="236"/>
    <x v="235"/>
    <x v="4"/>
    <x v="3"/>
    <x v="3"/>
    <n v="7"/>
    <n v="300"/>
    <n v="2100"/>
  </r>
  <r>
    <n v="237"/>
    <x v="236"/>
    <x v="2"/>
    <x v="3"/>
    <x v="5"/>
    <n v="2"/>
    <n v="1500"/>
    <n v="3000"/>
  </r>
  <r>
    <n v="238"/>
    <x v="237"/>
    <x v="5"/>
    <x v="3"/>
    <x v="2"/>
    <n v="5"/>
    <n v="190"/>
    <n v="950"/>
  </r>
  <r>
    <n v="239"/>
    <x v="238"/>
    <x v="1"/>
    <x v="2"/>
    <x v="5"/>
    <n v="2"/>
    <n v="1500"/>
    <n v="3000"/>
  </r>
  <r>
    <n v="240"/>
    <x v="239"/>
    <x v="2"/>
    <x v="0"/>
    <x v="5"/>
    <n v="7"/>
    <n v="1500"/>
    <n v="10500"/>
  </r>
  <r>
    <n v="241"/>
    <x v="240"/>
    <x v="1"/>
    <x v="3"/>
    <x v="0"/>
    <n v="2"/>
    <n v="210"/>
    <n v="420"/>
  </r>
  <r>
    <n v="242"/>
    <x v="241"/>
    <x v="4"/>
    <x v="0"/>
    <x v="2"/>
    <n v="4"/>
    <n v="190"/>
    <n v="760"/>
  </r>
  <r>
    <n v="243"/>
    <x v="242"/>
    <x v="2"/>
    <x v="0"/>
    <x v="1"/>
    <n v="5"/>
    <n v="2100"/>
    <n v="10500"/>
  </r>
  <r>
    <n v="244"/>
    <x v="243"/>
    <x v="2"/>
    <x v="2"/>
    <x v="4"/>
    <n v="3"/>
    <n v="1200"/>
    <n v="3600"/>
  </r>
  <r>
    <n v="245"/>
    <x v="244"/>
    <x v="2"/>
    <x v="2"/>
    <x v="2"/>
    <n v="5"/>
    <n v="190"/>
    <n v="950"/>
  </r>
  <r>
    <n v="246"/>
    <x v="245"/>
    <x v="3"/>
    <x v="2"/>
    <x v="4"/>
    <n v="5"/>
    <n v="1200"/>
    <n v="6000"/>
  </r>
  <r>
    <n v="247"/>
    <x v="246"/>
    <x v="1"/>
    <x v="3"/>
    <x v="2"/>
    <n v="2"/>
    <n v="190"/>
    <n v="380"/>
  </r>
  <r>
    <n v="248"/>
    <x v="247"/>
    <x v="4"/>
    <x v="3"/>
    <x v="5"/>
    <n v="7"/>
    <n v="1500"/>
    <n v="10500"/>
  </r>
  <r>
    <n v="249"/>
    <x v="248"/>
    <x v="5"/>
    <x v="3"/>
    <x v="2"/>
    <n v="5"/>
    <n v="190"/>
    <n v="950"/>
  </r>
  <r>
    <n v="250"/>
    <x v="249"/>
    <x v="2"/>
    <x v="0"/>
    <x v="5"/>
    <n v="2"/>
    <n v="1500"/>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1E737-370A-4976-86E6-49D01150841E}"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41:E48"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axis="axisRow" showAll="0">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E65DE-5571-4B5A-A7E3-566B53CCA470}"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8:D19" firstHeaderRow="1" firstDataRow="1" firstDataCol="0"/>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moun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6E7986-1697-4127-80D6-DE77C21C1E82}" name="PivotTable1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5:B49"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axis="axisRow" showAll="0" measureFilter="1">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2"/>
    </i>
    <i>
      <x v="3"/>
    </i>
    <i t="grand">
      <x/>
    </i>
  </rowItems>
  <colItems count="1">
    <i/>
  </colItems>
  <dataFields count="1">
    <dataField name="Sum of Amount" fld="7"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540F5B-7E31-41D1-B257-1CE20FCA0096}" name="PivotTable1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6:B40"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axis="axisRow" showAll="0" measureFilter="1">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1"/>
    </i>
    <i>
      <x v="4"/>
    </i>
    <i>
      <x v="5"/>
    </i>
    <i t="grand">
      <x/>
    </i>
  </rowItems>
  <colItems count="1">
    <i/>
  </colItems>
  <dataFields count="1">
    <dataField name="Sum of Amount" fld="7"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D0DA8F-4E09-46DA-A960-286F00900879}"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5:D16" firstHeaderRow="1" firstDataRow="1" firstDataCol="0"/>
  <pivotFields count="10">
    <pivotField dataField="1"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S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17F8D-C288-491C-BDB0-149B5467B993}" name="PivotTable13"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2">
  <location ref="D31:E35"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axis="axisRow" showAll="0" measureFilter="1">
      <items count="7">
        <item x="2"/>
        <item x="4"/>
        <item x="0"/>
        <item x="1"/>
        <item x="5"/>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1"/>
    </i>
    <i>
      <x v="3"/>
    </i>
    <i>
      <x v="4"/>
    </i>
    <i t="grand">
      <x/>
    </i>
  </rowItems>
  <colItems count="1">
    <i/>
  </colItems>
  <dataFields count="1">
    <dataField name="Sum of Qty" fld="5" baseField="0" baseItem="0"/>
  </dataFields>
  <chartFormats count="2">
    <chartFormat chart="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608972-DD14-441D-8D7F-A679F7C08EB7}"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2:D13" firstHeaderRow="1" firstDataRow="1" firstDataCol="0"/>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E7450-380F-4EF7-B09A-756953F191F0}"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2:B19"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axis="axisRow" showAll="0">
      <items count="7">
        <item x="2"/>
        <item x="4"/>
        <item x="0"/>
        <item x="1"/>
        <item x="5"/>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5EDD8B-BD41-4DDD-89AB-A76F67AA9981}"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21:E25"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axis="axisRow" showAll="0" measureFilter="1">
      <items count="7">
        <item x="2"/>
        <item x="4"/>
        <item x="0"/>
        <item x="1"/>
        <item x="5"/>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2"/>
    </i>
    <i>
      <x v="5"/>
    </i>
    <i t="grand">
      <x/>
    </i>
  </rowItems>
  <colItems count="1">
    <i/>
  </colItems>
  <dataFields count="1">
    <dataField name="Sum of Qty" fld="5"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1BD022-7590-472B-88D6-1A4C8CF26B5A}"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3:E10"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axis="axisRow" showAll="0">
      <items count="7">
        <item x="2"/>
        <item x="4"/>
        <item x="0"/>
        <item x="1"/>
        <item x="5"/>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BED70A-06AB-408F-BA76-94B45C83C5D7}"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1:B31"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0">
    <i>
      <x v="1"/>
    </i>
    <i>
      <x v="2"/>
    </i>
    <i>
      <x v="3"/>
    </i>
    <i>
      <x v="4"/>
    </i>
    <i>
      <x v="5"/>
    </i>
    <i>
      <x v="6"/>
    </i>
    <i>
      <x v="7"/>
    </i>
    <i>
      <x v="8"/>
    </i>
    <i>
      <x v="9"/>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CD590F-184D-4540-8F43-532457925122}"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10">
    <pivotField showAll="0"/>
    <pivotField numFmtId="16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3"/>
        <item x="5"/>
        <item x="2"/>
        <item x="1"/>
        <item x="4"/>
        <item x="0"/>
        <item t="default"/>
      </items>
    </pivotField>
    <pivotField axis="axisRow" showAll="0">
      <items count="5">
        <item x="0"/>
        <item x="3"/>
        <item x="2"/>
        <item x="1"/>
        <item t="default"/>
      </items>
    </pivotField>
    <pivotField showAll="0">
      <items count="7">
        <item x="2"/>
        <item x="4"/>
        <item x="0"/>
        <item x="1"/>
        <item x="5"/>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7B4B9D-C756-461A-8610-EE7AB732F75A}" sourceName="Region">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12"/>
    <pivotTable tabId="2" name="PivotTable13"/>
    <pivotTable tabId="2" name="PivotTable16"/>
    <pivotTable tabId="2" name="PivotTable17"/>
    <pivotTable tabId="2" name="PivotTable7"/>
  </pivotTables>
  <data>
    <tabular pivotCacheId="109098465">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AC642A5-49D0-446E-9B4A-2A435D90CAC8}" sourceName="Item">
  <pivotTables>
    <pivotTable tabId="2" name="PivotTable3"/>
    <pivotTable tabId="2" name="PivotTable12"/>
    <pivotTable tabId="2" name="PivotTable13"/>
    <pivotTable tabId="2" name="PivotTable1"/>
    <pivotTable tabId="2" name="PivotTable11"/>
    <pivotTable tabId="2" name="PivotTable16"/>
    <pivotTable tabId="2" name="PivotTable17"/>
    <pivotTable tabId="2" name="PivotTable2"/>
    <pivotTable tabId="2" name="PivotTable4"/>
    <pivotTable tabId="2" name="PivotTable5"/>
    <pivotTable tabId="2" name="PivotTable6"/>
    <pivotTable tabId="2" name="PivotTable7"/>
  </pivotTables>
  <data>
    <tabular pivotCacheId="109098465">
      <items count="6">
        <i x="2" s="1"/>
        <i x="4" s="1"/>
        <i x="0" s="1"/>
        <i x="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CD65EAF-E3F9-4020-A3C8-3C6DFD881A9B}" cache="Slicer_Region" caption="Region" columnCount="2" rowHeight="360000"/>
  <slicer name="Item 1" xr10:uid="{01A42DA1-3C6D-4D31-B53F-1B791D933480}" cache="Slicer_Item" caption="Item"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F60D8DEE-62F9-493F-9259-363E30559DAA}" cache="Slicer_Region" caption="Region" columnCount="2" rowHeight="360000"/>
  <slicer name="Item 3" xr10:uid="{D536BF56-8AFA-4EC9-845F-789A3C4BAC7F}" cache="Slicer_Item" caption="Item" columnCoun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8EADF7B-6764-4366-9511-A0B6F2F021A3}" cache="Slicer_Region" caption="Region" columnCount="2" rowHeight="360000"/>
  <slicer name="Item 2" xr10:uid="{7C327987-EC66-4A1A-BA7C-B4AC431709B0}" cache="Slicer_Item" caption="Item" columnCoun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E7CB31F0-189D-4060-A9FB-A087EF918F17}" cache="Slicer_Region" caption="Region" columnCount="2" rowHeight="360000"/>
  <slicer name="Item 4" xr10:uid="{2A73EBFE-9F90-454B-A0F2-0E3CD56584F9}" cache="Slicer_Item" caption="Item"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22C7F-F83B-4A7B-AD4E-08DC1090EE92}" name="Table1" displayName="Table1" ref="A1:H251" totalsRowShown="0" headerRowDxfId="11" dataDxfId="9" headerRowBorderDxfId="10" tableBorderDxfId="8">
  <autoFilter ref="A1:H251" xr:uid="{00000000-0009-0000-0000-000000000000}"/>
  <tableColumns count="8">
    <tableColumn id="1" xr3:uid="{0A90F2B4-B900-4EBA-80FE-20AE104D0A89}" name="S No." dataDxfId="7"/>
    <tableColumn id="2" xr3:uid="{DC030981-343A-4752-A3BD-092707670134}" name="Date" dataDxfId="6"/>
    <tableColumn id="3" xr3:uid="{ECD5EAFF-F5BE-4C73-99AD-5F672CCA283F}" name="Salesman" dataDxfId="5"/>
    <tableColumn id="4" xr3:uid="{9A7E2EA9-E103-4D5E-9ABC-6E36EA34E7C3}" name="Region" dataDxfId="4"/>
    <tableColumn id="5" xr3:uid="{E64FB065-5FFA-479B-A818-5F8FAB69EF32}" name="Item" dataDxfId="3"/>
    <tableColumn id="6" xr3:uid="{98AB5631-39DC-4C49-AA55-9FE29D24F6BF}" name="Qty" dataDxfId="2"/>
    <tableColumn id="7" xr3:uid="{B9B23C03-87A2-4C12-B0EF-4E4D205B2DD2}" name="Price" dataDxfId="1"/>
    <tableColumn id="8" xr3:uid="{05E8E2DD-1AB9-4F3E-A2A5-0934DE406425}" name="Amoun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6EE3FB5-9CF2-41FB-A770-D07AF0C964B6}" sourceName="Date">
  <pivotTables>
    <pivotTable tabId="2" name="PivotTable11"/>
    <pivotTable tabId="2" name="PivotTable1"/>
    <pivotTable tabId="2" name="PivotTable2"/>
    <pivotTable tabId="2" name="PivotTable3"/>
    <pivotTable tabId="2" name="PivotTable4"/>
    <pivotTable tabId="2" name="PivotTable5"/>
    <pivotTable tabId="2" name="PivotTable6"/>
    <pivotTable tabId="2" name="PivotTable12"/>
    <pivotTable tabId="2" name="PivotTable13"/>
    <pivotTable tabId="2" name="PivotTable16"/>
    <pivotTable tabId="2" name="PivotTable17"/>
    <pivotTable tabId="2" name="PivotTable7"/>
  </pivotTables>
  <state minimalRefreshVersion="6" lastRefreshVersion="6" pivotCacheId="10909846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60BD197-4BFF-4522-BA3B-2823B369C34C}" cache="NativeTimeline_Date" caption="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887462E4-F7EF-4EC1-B625-738BD25556E3}" cache="NativeTimeline_Date" caption="Date" level="2" selectionLevel="2" scrollPosition="2026-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5D55172-E3BC-4954-AED8-B8FBAE432D73}" cache="NativeTimeline_Date" caption="Date" level="2" selectionLevel="2" scrollPosition="2026-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8570D67-ECE4-4CE7-8BF4-221A80332FE8}" cache="NativeTimeline_Date" caption="Dat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1"/>
  <sheetViews>
    <sheetView workbookViewId="0">
      <pane ySplit="1" topLeftCell="A2" activePane="bottomLeft" state="frozen"/>
      <selection pane="bottomLeft" activeCell="A3" sqref="A3"/>
    </sheetView>
  </sheetViews>
  <sheetFormatPr defaultRowHeight="14.4" x14ac:dyDescent="0.3"/>
  <cols>
    <col min="1" max="1" width="8" customWidth="1"/>
    <col min="2" max="2" width="14" customWidth="1"/>
    <col min="3" max="3" width="18" customWidth="1"/>
    <col min="4" max="4" width="12" customWidth="1"/>
    <col min="5" max="5" width="14" customWidth="1"/>
    <col min="6" max="6" width="8" customWidth="1"/>
    <col min="7" max="7" width="12" customWidth="1"/>
    <col min="8" max="8" width="14" customWidth="1"/>
  </cols>
  <sheetData>
    <row r="1" spans="1:8" x14ac:dyDescent="0.3">
      <c r="A1" s="1" t="s">
        <v>0</v>
      </c>
      <c r="B1" s="1" t="s">
        <v>1</v>
      </c>
      <c r="C1" s="1" t="s">
        <v>2</v>
      </c>
      <c r="D1" s="1" t="s">
        <v>3</v>
      </c>
      <c r="E1" s="1" t="s">
        <v>4</v>
      </c>
      <c r="F1" s="1" t="s">
        <v>5</v>
      </c>
      <c r="G1" s="1" t="s">
        <v>6</v>
      </c>
      <c r="H1" s="1" t="s">
        <v>7</v>
      </c>
    </row>
    <row r="2" spans="1:8" x14ac:dyDescent="0.3">
      <c r="A2" s="2">
        <v>1</v>
      </c>
      <c r="B2" s="3">
        <v>46023</v>
      </c>
      <c r="C2" s="2" t="s">
        <v>8</v>
      </c>
      <c r="D2" s="2" t="s">
        <v>9</v>
      </c>
      <c r="E2" s="2" t="s">
        <v>10</v>
      </c>
      <c r="F2" s="2">
        <v>7</v>
      </c>
      <c r="G2" s="2">
        <v>210</v>
      </c>
      <c r="H2" s="2">
        <v>1470</v>
      </c>
    </row>
    <row r="3" spans="1:8" x14ac:dyDescent="0.3">
      <c r="A3" s="2">
        <v>2</v>
      </c>
      <c r="B3" s="3">
        <v>46024</v>
      </c>
      <c r="C3" s="2" t="s">
        <v>11</v>
      </c>
      <c r="D3" s="2" t="s">
        <v>12</v>
      </c>
      <c r="E3" s="2" t="s">
        <v>13</v>
      </c>
      <c r="F3" s="2">
        <v>3</v>
      </c>
      <c r="G3" s="2">
        <v>2100</v>
      </c>
      <c r="H3" s="2">
        <v>6300</v>
      </c>
    </row>
    <row r="4" spans="1:8" x14ac:dyDescent="0.3">
      <c r="A4" s="2">
        <v>3</v>
      </c>
      <c r="B4" s="3">
        <v>46025</v>
      </c>
      <c r="C4" s="2" t="s">
        <v>8</v>
      </c>
      <c r="D4" s="2" t="s">
        <v>9</v>
      </c>
      <c r="E4" s="2" t="s">
        <v>14</v>
      </c>
      <c r="F4" s="2">
        <v>7</v>
      </c>
      <c r="G4" s="2">
        <v>190</v>
      </c>
      <c r="H4" s="2">
        <v>1330</v>
      </c>
    </row>
    <row r="5" spans="1:8" x14ac:dyDescent="0.3">
      <c r="A5" s="2">
        <v>4</v>
      </c>
      <c r="B5" s="3">
        <v>46026</v>
      </c>
      <c r="C5" s="2" t="s">
        <v>15</v>
      </c>
      <c r="D5" s="2" t="s">
        <v>9</v>
      </c>
      <c r="E5" s="2" t="s">
        <v>16</v>
      </c>
      <c r="F5" s="2">
        <v>5</v>
      </c>
      <c r="G5" s="2">
        <v>300</v>
      </c>
      <c r="H5" s="2">
        <v>1500</v>
      </c>
    </row>
    <row r="6" spans="1:8" x14ac:dyDescent="0.3">
      <c r="A6" s="2">
        <v>5</v>
      </c>
      <c r="B6" s="3">
        <v>46027</v>
      </c>
      <c r="C6" s="2" t="s">
        <v>17</v>
      </c>
      <c r="D6" s="2" t="s">
        <v>9</v>
      </c>
      <c r="E6" s="2" t="s">
        <v>10</v>
      </c>
      <c r="F6" s="2">
        <v>3</v>
      </c>
      <c r="G6" s="2">
        <v>210</v>
      </c>
      <c r="H6" s="2">
        <v>630</v>
      </c>
    </row>
    <row r="7" spans="1:8" x14ac:dyDescent="0.3">
      <c r="A7" s="2">
        <v>6</v>
      </c>
      <c r="B7" s="3">
        <v>46028</v>
      </c>
      <c r="C7" s="2" t="s">
        <v>18</v>
      </c>
      <c r="D7" s="2" t="s">
        <v>9</v>
      </c>
      <c r="E7" s="2" t="s">
        <v>16</v>
      </c>
      <c r="F7" s="2">
        <v>3</v>
      </c>
      <c r="G7" s="2">
        <v>300</v>
      </c>
      <c r="H7" s="2">
        <v>900</v>
      </c>
    </row>
    <row r="8" spans="1:8" x14ac:dyDescent="0.3">
      <c r="A8" s="2">
        <v>7</v>
      </c>
      <c r="B8" s="3">
        <v>46029</v>
      </c>
      <c r="C8" s="2" t="s">
        <v>8</v>
      </c>
      <c r="D8" s="2" t="s">
        <v>19</v>
      </c>
      <c r="E8" s="2" t="s">
        <v>13</v>
      </c>
      <c r="F8" s="2">
        <v>5</v>
      </c>
      <c r="G8" s="2">
        <v>2100</v>
      </c>
      <c r="H8" s="2">
        <v>10500</v>
      </c>
    </row>
    <row r="9" spans="1:8" x14ac:dyDescent="0.3">
      <c r="A9" s="2">
        <v>8</v>
      </c>
      <c r="B9" s="3">
        <v>46030</v>
      </c>
      <c r="C9" s="2" t="s">
        <v>15</v>
      </c>
      <c r="D9" s="2" t="s">
        <v>20</v>
      </c>
      <c r="E9" s="2" t="s">
        <v>10</v>
      </c>
      <c r="F9" s="2">
        <v>3</v>
      </c>
      <c r="G9" s="2">
        <v>210</v>
      </c>
      <c r="H9" s="2">
        <v>630</v>
      </c>
    </row>
    <row r="10" spans="1:8" x14ac:dyDescent="0.3">
      <c r="A10" s="2">
        <v>9</v>
      </c>
      <c r="B10" s="3">
        <v>46031</v>
      </c>
      <c r="C10" s="2" t="s">
        <v>8</v>
      </c>
      <c r="D10" s="2" t="s">
        <v>19</v>
      </c>
      <c r="E10" s="2" t="s">
        <v>21</v>
      </c>
      <c r="F10" s="2">
        <v>4</v>
      </c>
      <c r="G10" s="2">
        <v>1200</v>
      </c>
      <c r="H10" s="2">
        <v>4800</v>
      </c>
    </row>
    <row r="11" spans="1:8" x14ac:dyDescent="0.3">
      <c r="A11" s="2">
        <v>10</v>
      </c>
      <c r="B11" s="3">
        <v>46032</v>
      </c>
      <c r="C11" s="2" t="s">
        <v>18</v>
      </c>
      <c r="D11" s="2" t="s">
        <v>12</v>
      </c>
      <c r="E11" s="2" t="s">
        <v>21</v>
      </c>
      <c r="F11" s="2">
        <v>2</v>
      </c>
      <c r="G11" s="2">
        <v>1200</v>
      </c>
      <c r="H11" s="2">
        <v>2400</v>
      </c>
    </row>
    <row r="12" spans="1:8" x14ac:dyDescent="0.3">
      <c r="A12" s="2">
        <v>11</v>
      </c>
      <c r="B12" s="3">
        <v>46033</v>
      </c>
      <c r="C12" s="2" t="s">
        <v>17</v>
      </c>
      <c r="D12" s="2" t="s">
        <v>19</v>
      </c>
      <c r="E12" s="2" t="s">
        <v>10</v>
      </c>
      <c r="F12" s="2">
        <v>4</v>
      </c>
      <c r="G12" s="2">
        <v>210</v>
      </c>
      <c r="H12" s="2">
        <v>840</v>
      </c>
    </row>
    <row r="13" spans="1:8" x14ac:dyDescent="0.3">
      <c r="A13" s="2">
        <v>12</v>
      </c>
      <c r="B13" s="3">
        <v>46034</v>
      </c>
      <c r="C13" s="2" t="s">
        <v>11</v>
      </c>
      <c r="D13" s="2" t="s">
        <v>20</v>
      </c>
      <c r="E13" s="2" t="s">
        <v>10</v>
      </c>
      <c r="F13" s="2">
        <v>7</v>
      </c>
      <c r="G13" s="2">
        <v>210</v>
      </c>
      <c r="H13" s="2">
        <v>1470</v>
      </c>
    </row>
    <row r="14" spans="1:8" x14ac:dyDescent="0.3">
      <c r="A14" s="2">
        <v>13</v>
      </c>
      <c r="B14" s="3">
        <v>46035</v>
      </c>
      <c r="C14" s="2" t="s">
        <v>22</v>
      </c>
      <c r="D14" s="2" t="s">
        <v>9</v>
      </c>
      <c r="E14" s="2" t="s">
        <v>23</v>
      </c>
      <c r="F14" s="2">
        <v>2</v>
      </c>
      <c r="G14" s="2">
        <v>1500</v>
      </c>
      <c r="H14" s="2">
        <v>3000</v>
      </c>
    </row>
    <row r="15" spans="1:8" x14ac:dyDescent="0.3">
      <c r="A15" s="2">
        <v>14</v>
      </c>
      <c r="B15" s="3">
        <v>46036</v>
      </c>
      <c r="C15" s="2" t="s">
        <v>15</v>
      </c>
      <c r="D15" s="2" t="s">
        <v>20</v>
      </c>
      <c r="E15" s="2" t="s">
        <v>14</v>
      </c>
      <c r="F15" s="2">
        <v>6</v>
      </c>
      <c r="G15" s="2">
        <v>190</v>
      </c>
      <c r="H15" s="2">
        <v>1140</v>
      </c>
    </row>
    <row r="16" spans="1:8" x14ac:dyDescent="0.3">
      <c r="A16" s="2">
        <v>15</v>
      </c>
      <c r="B16" s="3">
        <v>46037</v>
      </c>
      <c r="C16" s="2" t="s">
        <v>11</v>
      </c>
      <c r="D16" s="2" t="s">
        <v>12</v>
      </c>
      <c r="E16" s="2" t="s">
        <v>14</v>
      </c>
      <c r="F16" s="2">
        <v>2</v>
      </c>
      <c r="G16" s="2">
        <v>190</v>
      </c>
      <c r="H16" s="2">
        <v>380</v>
      </c>
    </row>
    <row r="17" spans="1:8" x14ac:dyDescent="0.3">
      <c r="A17" s="2">
        <v>16</v>
      </c>
      <c r="B17" s="3">
        <v>46038</v>
      </c>
      <c r="C17" s="2" t="s">
        <v>17</v>
      </c>
      <c r="D17" s="2" t="s">
        <v>12</v>
      </c>
      <c r="E17" s="2" t="s">
        <v>21</v>
      </c>
      <c r="F17" s="2">
        <v>2</v>
      </c>
      <c r="G17" s="2">
        <v>1200</v>
      </c>
      <c r="H17" s="2">
        <v>2400</v>
      </c>
    </row>
    <row r="18" spans="1:8" x14ac:dyDescent="0.3">
      <c r="A18" s="2">
        <v>17</v>
      </c>
      <c r="B18" s="3">
        <v>46039</v>
      </c>
      <c r="C18" s="2" t="s">
        <v>18</v>
      </c>
      <c r="D18" s="2" t="s">
        <v>9</v>
      </c>
      <c r="E18" s="2" t="s">
        <v>23</v>
      </c>
      <c r="F18" s="2">
        <v>4</v>
      </c>
      <c r="G18" s="2">
        <v>1500</v>
      </c>
      <c r="H18" s="2">
        <v>6000</v>
      </c>
    </row>
    <row r="19" spans="1:8" x14ac:dyDescent="0.3">
      <c r="A19" s="2">
        <v>18</v>
      </c>
      <c r="B19" s="3">
        <v>46040</v>
      </c>
      <c r="C19" s="2" t="s">
        <v>22</v>
      </c>
      <c r="D19" s="2" t="s">
        <v>20</v>
      </c>
      <c r="E19" s="2" t="s">
        <v>13</v>
      </c>
      <c r="F19" s="2">
        <v>4</v>
      </c>
      <c r="G19" s="2">
        <v>2100</v>
      </c>
      <c r="H19" s="2">
        <v>8400</v>
      </c>
    </row>
    <row r="20" spans="1:8" x14ac:dyDescent="0.3">
      <c r="A20" s="2">
        <v>19</v>
      </c>
      <c r="B20" s="3">
        <v>46041</v>
      </c>
      <c r="C20" s="2" t="s">
        <v>11</v>
      </c>
      <c r="D20" s="2" t="s">
        <v>12</v>
      </c>
      <c r="E20" s="2" t="s">
        <v>14</v>
      </c>
      <c r="F20" s="2">
        <v>4</v>
      </c>
      <c r="G20" s="2">
        <v>190</v>
      </c>
      <c r="H20" s="2">
        <v>760</v>
      </c>
    </row>
    <row r="21" spans="1:8" x14ac:dyDescent="0.3">
      <c r="A21" s="2">
        <v>20</v>
      </c>
      <c r="B21" s="3">
        <v>46042</v>
      </c>
      <c r="C21" s="2" t="s">
        <v>8</v>
      </c>
      <c r="D21" s="2" t="s">
        <v>9</v>
      </c>
      <c r="E21" s="2" t="s">
        <v>16</v>
      </c>
      <c r="F21" s="2">
        <v>7</v>
      </c>
      <c r="G21" s="2">
        <v>300</v>
      </c>
      <c r="H21" s="2">
        <v>2100</v>
      </c>
    </row>
    <row r="22" spans="1:8" x14ac:dyDescent="0.3">
      <c r="A22" s="2">
        <v>21</v>
      </c>
      <c r="B22" s="3">
        <v>46043</v>
      </c>
      <c r="C22" s="2" t="s">
        <v>18</v>
      </c>
      <c r="D22" s="2" t="s">
        <v>12</v>
      </c>
      <c r="E22" s="2" t="s">
        <v>13</v>
      </c>
      <c r="F22" s="2">
        <v>5</v>
      </c>
      <c r="G22" s="2">
        <v>2100</v>
      </c>
      <c r="H22" s="2">
        <v>10500</v>
      </c>
    </row>
    <row r="23" spans="1:8" x14ac:dyDescent="0.3">
      <c r="A23" s="2">
        <v>22</v>
      </c>
      <c r="B23" s="3">
        <v>46044</v>
      </c>
      <c r="C23" s="2" t="s">
        <v>22</v>
      </c>
      <c r="D23" s="2" t="s">
        <v>20</v>
      </c>
      <c r="E23" s="2" t="s">
        <v>14</v>
      </c>
      <c r="F23" s="2">
        <v>7</v>
      </c>
      <c r="G23" s="2">
        <v>190</v>
      </c>
      <c r="H23" s="2">
        <v>1330</v>
      </c>
    </row>
    <row r="24" spans="1:8" x14ac:dyDescent="0.3">
      <c r="A24" s="2">
        <v>23</v>
      </c>
      <c r="B24" s="3">
        <v>46045</v>
      </c>
      <c r="C24" s="2" t="s">
        <v>15</v>
      </c>
      <c r="D24" s="2" t="s">
        <v>12</v>
      </c>
      <c r="E24" s="2" t="s">
        <v>14</v>
      </c>
      <c r="F24" s="2">
        <v>4</v>
      </c>
      <c r="G24" s="2">
        <v>190</v>
      </c>
      <c r="H24" s="2">
        <v>760</v>
      </c>
    </row>
    <row r="25" spans="1:8" x14ac:dyDescent="0.3">
      <c r="A25" s="2">
        <v>24</v>
      </c>
      <c r="B25" s="3">
        <v>46046</v>
      </c>
      <c r="C25" s="2" t="s">
        <v>17</v>
      </c>
      <c r="D25" s="2" t="s">
        <v>12</v>
      </c>
      <c r="E25" s="2" t="s">
        <v>10</v>
      </c>
      <c r="F25" s="2">
        <v>4</v>
      </c>
      <c r="G25" s="2">
        <v>210</v>
      </c>
      <c r="H25" s="2">
        <v>840</v>
      </c>
    </row>
    <row r="26" spans="1:8" x14ac:dyDescent="0.3">
      <c r="A26" s="2">
        <v>25</v>
      </c>
      <c r="B26" s="3">
        <v>46047</v>
      </c>
      <c r="C26" s="2" t="s">
        <v>22</v>
      </c>
      <c r="D26" s="2" t="s">
        <v>20</v>
      </c>
      <c r="E26" s="2" t="s">
        <v>10</v>
      </c>
      <c r="F26" s="2">
        <v>3</v>
      </c>
      <c r="G26" s="2">
        <v>210</v>
      </c>
      <c r="H26" s="2">
        <v>630</v>
      </c>
    </row>
    <row r="27" spans="1:8" x14ac:dyDescent="0.3">
      <c r="A27" s="2">
        <v>26</v>
      </c>
      <c r="B27" s="3">
        <v>46048</v>
      </c>
      <c r="C27" s="2" t="s">
        <v>15</v>
      </c>
      <c r="D27" s="2" t="s">
        <v>20</v>
      </c>
      <c r="E27" s="2" t="s">
        <v>13</v>
      </c>
      <c r="F27" s="2">
        <v>7</v>
      </c>
      <c r="G27" s="2">
        <v>2100</v>
      </c>
      <c r="H27" s="2">
        <v>14700</v>
      </c>
    </row>
    <row r="28" spans="1:8" x14ac:dyDescent="0.3">
      <c r="A28" s="2">
        <v>27</v>
      </c>
      <c r="B28" s="3">
        <v>46049</v>
      </c>
      <c r="C28" s="2" t="s">
        <v>22</v>
      </c>
      <c r="D28" s="2" t="s">
        <v>19</v>
      </c>
      <c r="E28" s="2" t="s">
        <v>14</v>
      </c>
      <c r="F28" s="2">
        <v>5</v>
      </c>
      <c r="G28" s="2">
        <v>190</v>
      </c>
      <c r="H28" s="2">
        <v>950</v>
      </c>
    </row>
    <row r="29" spans="1:8" x14ac:dyDescent="0.3">
      <c r="A29" s="2">
        <v>28</v>
      </c>
      <c r="B29" s="3">
        <v>46050</v>
      </c>
      <c r="C29" s="2" t="s">
        <v>18</v>
      </c>
      <c r="D29" s="2" t="s">
        <v>20</v>
      </c>
      <c r="E29" s="2" t="s">
        <v>13</v>
      </c>
      <c r="F29" s="2">
        <v>3</v>
      </c>
      <c r="G29" s="2">
        <v>2100</v>
      </c>
      <c r="H29" s="2">
        <v>6300</v>
      </c>
    </row>
    <row r="30" spans="1:8" x14ac:dyDescent="0.3">
      <c r="A30" s="2">
        <v>29</v>
      </c>
      <c r="B30" s="3">
        <v>46051</v>
      </c>
      <c r="C30" s="2" t="s">
        <v>8</v>
      </c>
      <c r="D30" s="2" t="s">
        <v>20</v>
      </c>
      <c r="E30" s="2" t="s">
        <v>14</v>
      </c>
      <c r="F30" s="2">
        <v>6</v>
      </c>
      <c r="G30" s="2">
        <v>190</v>
      </c>
      <c r="H30" s="2">
        <v>1140</v>
      </c>
    </row>
    <row r="31" spans="1:8" x14ac:dyDescent="0.3">
      <c r="A31" s="2">
        <v>30</v>
      </c>
      <c r="B31" s="3">
        <v>46052</v>
      </c>
      <c r="C31" s="2" t="s">
        <v>22</v>
      </c>
      <c r="D31" s="2" t="s">
        <v>19</v>
      </c>
      <c r="E31" s="2" t="s">
        <v>21</v>
      </c>
      <c r="F31" s="2">
        <v>3</v>
      </c>
      <c r="G31" s="2">
        <v>1200</v>
      </c>
      <c r="H31" s="2">
        <v>3600</v>
      </c>
    </row>
    <row r="32" spans="1:8" x14ac:dyDescent="0.3">
      <c r="A32" s="2">
        <v>31</v>
      </c>
      <c r="B32" s="3">
        <v>46053</v>
      </c>
      <c r="C32" s="2" t="s">
        <v>18</v>
      </c>
      <c r="D32" s="2" t="s">
        <v>19</v>
      </c>
      <c r="E32" s="2" t="s">
        <v>10</v>
      </c>
      <c r="F32" s="2">
        <v>2</v>
      </c>
      <c r="G32" s="2">
        <v>210</v>
      </c>
      <c r="H32" s="2">
        <v>420</v>
      </c>
    </row>
    <row r="33" spans="1:8" x14ac:dyDescent="0.3">
      <c r="A33" s="2">
        <v>32</v>
      </c>
      <c r="B33" s="3">
        <v>46054</v>
      </c>
      <c r="C33" s="2" t="s">
        <v>17</v>
      </c>
      <c r="D33" s="2" t="s">
        <v>12</v>
      </c>
      <c r="E33" s="2" t="s">
        <v>14</v>
      </c>
      <c r="F33" s="2">
        <v>3</v>
      </c>
      <c r="G33" s="2">
        <v>190</v>
      </c>
      <c r="H33" s="2">
        <v>570</v>
      </c>
    </row>
    <row r="34" spans="1:8" x14ac:dyDescent="0.3">
      <c r="A34" s="2">
        <v>33</v>
      </c>
      <c r="B34" s="3">
        <v>46055</v>
      </c>
      <c r="C34" s="2" t="s">
        <v>8</v>
      </c>
      <c r="D34" s="2" t="s">
        <v>19</v>
      </c>
      <c r="E34" s="2" t="s">
        <v>16</v>
      </c>
      <c r="F34" s="2">
        <v>2</v>
      </c>
      <c r="G34" s="2">
        <v>300</v>
      </c>
      <c r="H34" s="2">
        <v>600</v>
      </c>
    </row>
    <row r="35" spans="1:8" x14ac:dyDescent="0.3">
      <c r="A35" s="2">
        <v>34</v>
      </c>
      <c r="B35" s="3">
        <v>46056</v>
      </c>
      <c r="C35" s="2" t="s">
        <v>22</v>
      </c>
      <c r="D35" s="2" t="s">
        <v>19</v>
      </c>
      <c r="E35" s="2" t="s">
        <v>16</v>
      </c>
      <c r="F35" s="2">
        <v>5</v>
      </c>
      <c r="G35" s="2">
        <v>300</v>
      </c>
      <c r="H35" s="2">
        <v>1500</v>
      </c>
    </row>
    <row r="36" spans="1:8" x14ac:dyDescent="0.3">
      <c r="A36" s="2">
        <v>35</v>
      </c>
      <c r="B36" s="3">
        <v>46057</v>
      </c>
      <c r="C36" s="2" t="s">
        <v>15</v>
      </c>
      <c r="D36" s="2" t="s">
        <v>20</v>
      </c>
      <c r="E36" s="2" t="s">
        <v>16</v>
      </c>
      <c r="F36" s="2">
        <v>2</v>
      </c>
      <c r="G36" s="2">
        <v>300</v>
      </c>
      <c r="H36" s="2">
        <v>600</v>
      </c>
    </row>
    <row r="37" spans="1:8" x14ac:dyDescent="0.3">
      <c r="A37" s="2">
        <v>36</v>
      </c>
      <c r="B37" s="3">
        <v>46058</v>
      </c>
      <c r="C37" s="2" t="s">
        <v>8</v>
      </c>
      <c r="D37" s="2" t="s">
        <v>9</v>
      </c>
      <c r="E37" s="2" t="s">
        <v>14</v>
      </c>
      <c r="F37" s="2">
        <v>6</v>
      </c>
      <c r="G37" s="2">
        <v>190</v>
      </c>
      <c r="H37" s="2">
        <v>1140</v>
      </c>
    </row>
    <row r="38" spans="1:8" x14ac:dyDescent="0.3">
      <c r="A38" s="2">
        <v>37</v>
      </c>
      <c r="B38" s="3">
        <v>46059</v>
      </c>
      <c r="C38" s="2" t="s">
        <v>11</v>
      </c>
      <c r="D38" s="2" t="s">
        <v>20</v>
      </c>
      <c r="E38" s="2" t="s">
        <v>10</v>
      </c>
      <c r="F38" s="2">
        <v>4</v>
      </c>
      <c r="G38" s="2">
        <v>210</v>
      </c>
      <c r="H38" s="2">
        <v>840</v>
      </c>
    </row>
    <row r="39" spans="1:8" x14ac:dyDescent="0.3">
      <c r="A39" s="2">
        <v>38</v>
      </c>
      <c r="B39" s="3">
        <v>46060</v>
      </c>
      <c r="C39" s="2" t="s">
        <v>22</v>
      </c>
      <c r="D39" s="2" t="s">
        <v>12</v>
      </c>
      <c r="E39" s="2" t="s">
        <v>23</v>
      </c>
      <c r="F39" s="2">
        <v>2</v>
      </c>
      <c r="G39" s="2">
        <v>1500</v>
      </c>
      <c r="H39" s="2">
        <v>3000</v>
      </c>
    </row>
    <row r="40" spans="1:8" x14ac:dyDescent="0.3">
      <c r="A40" s="2">
        <v>39</v>
      </c>
      <c r="B40" s="3">
        <v>46061</v>
      </c>
      <c r="C40" s="2" t="s">
        <v>8</v>
      </c>
      <c r="D40" s="2" t="s">
        <v>20</v>
      </c>
      <c r="E40" s="2" t="s">
        <v>16</v>
      </c>
      <c r="F40" s="2">
        <v>3</v>
      </c>
      <c r="G40" s="2">
        <v>300</v>
      </c>
      <c r="H40" s="2">
        <v>900</v>
      </c>
    </row>
    <row r="41" spans="1:8" x14ac:dyDescent="0.3">
      <c r="A41" s="2">
        <v>40</v>
      </c>
      <c r="B41" s="3">
        <v>46062</v>
      </c>
      <c r="C41" s="2" t="s">
        <v>15</v>
      </c>
      <c r="D41" s="2" t="s">
        <v>9</v>
      </c>
      <c r="E41" s="2" t="s">
        <v>14</v>
      </c>
      <c r="F41" s="2">
        <v>4</v>
      </c>
      <c r="G41" s="2">
        <v>190</v>
      </c>
      <c r="H41" s="2">
        <v>760</v>
      </c>
    </row>
    <row r="42" spans="1:8" x14ac:dyDescent="0.3">
      <c r="A42" s="2">
        <v>41</v>
      </c>
      <c r="B42" s="3">
        <v>46063</v>
      </c>
      <c r="C42" s="2" t="s">
        <v>8</v>
      </c>
      <c r="D42" s="2" t="s">
        <v>12</v>
      </c>
      <c r="E42" s="2" t="s">
        <v>13</v>
      </c>
      <c r="F42" s="2">
        <v>4</v>
      </c>
      <c r="G42" s="2">
        <v>2100</v>
      </c>
      <c r="H42" s="2">
        <v>8400</v>
      </c>
    </row>
    <row r="43" spans="1:8" x14ac:dyDescent="0.3">
      <c r="A43" s="2">
        <v>42</v>
      </c>
      <c r="B43" s="3">
        <v>46064</v>
      </c>
      <c r="C43" s="2" t="s">
        <v>18</v>
      </c>
      <c r="D43" s="2" t="s">
        <v>9</v>
      </c>
      <c r="E43" s="2" t="s">
        <v>16</v>
      </c>
      <c r="F43" s="2">
        <v>4</v>
      </c>
      <c r="G43" s="2">
        <v>300</v>
      </c>
      <c r="H43" s="2">
        <v>1200</v>
      </c>
    </row>
    <row r="44" spans="1:8" x14ac:dyDescent="0.3">
      <c r="A44" s="2">
        <v>43</v>
      </c>
      <c r="B44" s="3">
        <v>46065</v>
      </c>
      <c r="C44" s="2" t="s">
        <v>22</v>
      </c>
      <c r="D44" s="2" t="s">
        <v>9</v>
      </c>
      <c r="E44" s="2" t="s">
        <v>10</v>
      </c>
      <c r="F44" s="2">
        <v>4</v>
      </c>
      <c r="G44" s="2">
        <v>210</v>
      </c>
      <c r="H44" s="2">
        <v>840</v>
      </c>
    </row>
    <row r="45" spans="1:8" x14ac:dyDescent="0.3">
      <c r="A45" s="2">
        <v>44</v>
      </c>
      <c r="B45" s="3">
        <v>46066</v>
      </c>
      <c r="C45" s="2" t="s">
        <v>11</v>
      </c>
      <c r="D45" s="2" t="s">
        <v>12</v>
      </c>
      <c r="E45" s="2" t="s">
        <v>10</v>
      </c>
      <c r="F45" s="2">
        <v>3</v>
      </c>
      <c r="G45" s="2">
        <v>210</v>
      </c>
      <c r="H45" s="2">
        <v>630</v>
      </c>
    </row>
    <row r="46" spans="1:8" x14ac:dyDescent="0.3">
      <c r="A46" s="2">
        <v>45</v>
      </c>
      <c r="B46" s="3">
        <v>46067</v>
      </c>
      <c r="C46" s="2" t="s">
        <v>15</v>
      </c>
      <c r="D46" s="2" t="s">
        <v>9</v>
      </c>
      <c r="E46" s="2" t="s">
        <v>10</v>
      </c>
      <c r="F46" s="2">
        <v>7</v>
      </c>
      <c r="G46" s="2">
        <v>210</v>
      </c>
      <c r="H46" s="2">
        <v>1470</v>
      </c>
    </row>
    <row r="47" spans="1:8" x14ac:dyDescent="0.3">
      <c r="A47" s="2">
        <v>46</v>
      </c>
      <c r="B47" s="3">
        <v>46068</v>
      </c>
      <c r="C47" s="2" t="s">
        <v>22</v>
      </c>
      <c r="D47" s="2" t="s">
        <v>9</v>
      </c>
      <c r="E47" s="2" t="s">
        <v>16</v>
      </c>
      <c r="F47" s="2">
        <v>3</v>
      </c>
      <c r="G47" s="2">
        <v>300</v>
      </c>
      <c r="H47" s="2">
        <v>900</v>
      </c>
    </row>
    <row r="48" spans="1:8" x14ac:dyDescent="0.3">
      <c r="A48" s="2">
        <v>47</v>
      </c>
      <c r="B48" s="3">
        <v>46069</v>
      </c>
      <c r="C48" s="2" t="s">
        <v>18</v>
      </c>
      <c r="D48" s="2" t="s">
        <v>19</v>
      </c>
      <c r="E48" s="2" t="s">
        <v>16</v>
      </c>
      <c r="F48" s="2">
        <v>3</v>
      </c>
      <c r="G48" s="2">
        <v>300</v>
      </c>
      <c r="H48" s="2">
        <v>900</v>
      </c>
    </row>
    <row r="49" spans="1:8" x14ac:dyDescent="0.3">
      <c r="A49" s="2">
        <v>48</v>
      </c>
      <c r="B49" s="3">
        <v>46070</v>
      </c>
      <c r="C49" s="2" t="s">
        <v>11</v>
      </c>
      <c r="D49" s="2" t="s">
        <v>19</v>
      </c>
      <c r="E49" s="2" t="s">
        <v>13</v>
      </c>
      <c r="F49" s="2">
        <v>6</v>
      </c>
      <c r="G49" s="2">
        <v>2100</v>
      </c>
      <c r="H49" s="2">
        <v>12600</v>
      </c>
    </row>
    <row r="50" spans="1:8" x14ac:dyDescent="0.3">
      <c r="A50" s="2">
        <v>49</v>
      </c>
      <c r="B50" s="3">
        <v>46071</v>
      </c>
      <c r="C50" s="2" t="s">
        <v>8</v>
      </c>
      <c r="D50" s="2" t="s">
        <v>12</v>
      </c>
      <c r="E50" s="2" t="s">
        <v>14</v>
      </c>
      <c r="F50" s="2">
        <v>4</v>
      </c>
      <c r="G50" s="2">
        <v>190</v>
      </c>
      <c r="H50" s="2">
        <v>760</v>
      </c>
    </row>
    <row r="51" spans="1:8" x14ac:dyDescent="0.3">
      <c r="A51" s="2">
        <v>50</v>
      </c>
      <c r="B51" s="3">
        <v>46072</v>
      </c>
      <c r="C51" s="2" t="s">
        <v>22</v>
      </c>
      <c r="D51" s="2" t="s">
        <v>20</v>
      </c>
      <c r="E51" s="2" t="s">
        <v>23</v>
      </c>
      <c r="F51" s="2">
        <v>6</v>
      </c>
      <c r="G51" s="2">
        <v>1500</v>
      </c>
      <c r="H51" s="2">
        <v>9000</v>
      </c>
    </row>
    <row r="52" spans="1:8" x14ac:dyDescent="0.3">
      <c r="A52" s="2">
        <v>51</v>
      </c>
      <c r="B52" s="3">
        <v>46073</v>
      </c>
      <c r="C52" s="2" t="s">
        <v>22</v>
      </c>
      <c r="D52" s="2" t="s">
        <v>9</v>
      </c>
      <c r="E52" s="2" t="s">
        <v>13</v>
      </c>
      <c r="F52" s="2">
        <v>3</v>
      </c>
      <c r="G52" s="2">
        <v>2100</v>
      </c>
      <c r="H52" s="2">
        <v>6300</v>
      </c>
    </row>
    <row r="53" spans="1:8" x14ac:dyDescent="0.3">
      <c r="A53" s="2">
        <v>52</v>
      </c>
      <c r="B53" s="3">
        <v>46074</v>
      </c>
      <c r="C53" s="2" t="s">
        <v>17</v>
      </c>
      <c r="D53" s="2" t="s">
        <v>20</v>
      </c>
      <c r="E53" s="2" t="s">
        <v>10</v>
      </c>
      <c r="F53" s="2">
        <v>6</v>
      </c>
      <c r="G53" s="2">
        <v>210</v>
      </c>
      <c r="H53" s="2">
        <v>1260</v>
      </c>
    </row>
    <row r="54" spans="1:8" x14ac:dyDescent="0.3">
      <c r="A54" s="2">
        <v>53</v>
      </c>
      <c r="B54" s="3">
        <v>46075</v>
      </c>
      <c r="C54" s="2" t="s">
        <v>15</v>
      </c>
      <c r="D54" s="2" t="s">
        <v>12</v>
      </c>
      <c r="E54" s="2" t="s">
        <v>16</v>
      </c>
      <c r="F54" s="2">
        <v>3</v>
      </c>
      <c r="G54" s="2">
        <v>300</v>
      </c>
      <c r="H54" s="2">
        <v>900</v>
      </c>
    </row>
    <row r="55" spans="1:8" x14ac:dyDescent="0.3">
      <c r="A55" s="2">
        <v>54</v>
      </c>
      <c r="B55" s="3">
        <v>46076</v>
      </c>
      <c r="C55" s="2" t="s">
        <v>17</v>
      </c>
      <c r="D55" s="2" t="s">
        <v>9</v>
      </c>
      <c r="E55" s="2" t="s">
        <v>14</v>
      </c>
      <c r="F55" s="2">
        <v>7</v>
      </c>
      <c r="G55" s="2">
        <v>190</v>
      </c>
      <c r="H55" s="2">
        <v>1330</v>
      </c>
    </row>
    <row r="56" spans="1:8" x14ac:dyDescent="0.3">
      <c r="A56" s="2">
        <v>55</v>
      </c>
      <c r="B56" s="3">
        <v>46077</v>
      </c>
      <c r="C56" s="2" t="s">
        <v>17</v>
      </c>
      <c r="D56" s="2" t="s">
        <v>12</v>
      </c>
      <c r="E56" s="2" t="s">
        <v>10</v>
      </c>
      <c r="F56" s="2">
        <v>2</v>
      </c>
      <c r="G56" s="2">
        <v>210</v>
      </c>
      <c r="H56" s="2">
        <v>420</v>
      </c>
    </row>
    <row r="57" spans="1:8" x14ac:dyDescent="0.3">
      <c r="A57" s="2">
        <v>56</v>
      </c>
      <c r="B57" s="3">
        <v>46078</v>
      </c>
      <c r="C57" s="2" t="s">
        <v>11</v>
      </c>
      <c r="D57" s="2" t="s">
        <v>9</v>
      </c>
      <c r="E57" s="2" t="s">
        <v>16</v>
      </c>
      <c r="F57" s="2">
        <v>3</v>
      </c>
      <c r="G57" s="2">
        <v>300</v>
      </c>
      <c r="H57" s="2">
        <v>900</v>
      </c>
    </row>
    <row r="58" spans="1:8" x14ac:dyDescent="0.3">
      <c r="A58" s="2">
        <v>57</v>
      </c>
      <c r="B58" s="3">
        <v>46079</v>
      </c>
      <c r="C58" s="2" t="s">
        <v>11</v>
      </c>
      <c r="D58" s="2" t="s">
        <v>19</v>
      </c>
      <c r="E58" s="2" t="s">
        <v>13</v>
      </c>
      <c r="F58" s="2">
        <v>6</v>
      </c>
      <c r="G58" s="2">
        <v>2100</v>
      </c>
      <c r="H58" s="2">
        <v>12600</v>
      </c>
    </row>
    <row r="59" spans="1:8" x14ac:dyDescent="0.3">
      <c r="A59" s="2">
        <v>58</v>
      </c>
      <c r="B59" s="3">
        <v>46080</v>
      </c>
      <c r="C59" s="2" t="s">
        <v>18</v>
      </c>
      <c r="D59" s="2" t="s">
        <v>19</v>
      </c>
      <c r="E59" s="2" t="s">
        <v>13</v>
      </c>
      <c r="F59" s="2">
        <v>5</v>
      </c>
      <c r="G59" s="2">
        <v>2100</v>
      </c>
      <c r="H59" s="2">
        <v>10500</v>
      </c>
    </row>
    <row r="60" spans="1:8" x14ac:dyDescent="0.3">
      <c r="A60" s="2">
        <v>59</v>
      </c>
      <c r="B60" s="3">
        <v>46081</v>
      </c>
      <c r="C60" s="2" t="s">
        <v>22</v>
      </c>
      <c r="D60" s="2" t="s">
        <v>12</v>
      </c>
      <c r="E60" s="2" t="s">
        <v>10</v>
      </c>
      <c r="F60" s="2">
        <v>2</v>
      </c>
      <c r="G60" s="2">
        <v>210</v>
      </c>
      <c r="H60" s="2">
        <v>420</v>
      </c>
    </row>
    <row r="61" spans="1:8" x14ac:dyDescent="0.3">
      <c r="A61" s="2">
        <v>60</v>
      </c>
      <c r="B61" s="3">
        <v>46082</v>
      </c>
      <c r="C61" s="2" t="s">
        <v>8</v>
      </c>
      <c r="D61" s="2" t="s">
        <v>19</v>
      </c>
      <c r="E61" s="2" t="s">
        <v>21</v>
      </c>
      <c r="F61" s="2">
        <v>5</v>
      </c>
      <c r="G61" s="2">
        <v>1200</v>
      </c>
      <c r="H61" s="2">
        <v>6000</v>
      </c>
    </row>
    <row r="62" spans="1:8" x14ac:dyDescent="0.3">
      <c r="A62" s="2">
        <v>61</v>
      </c>
      <c r="B62" s="3">
        <v>46083</v>
      </c>
      <c r="C62" s="2" t="s">
        <v>22</v>
      </c>
      <c r="D62" s="2" t="s">
        <v>19</v>
      </c>
      <c r="E62" s="2" t="s">
        <v>14</v>
      </c>
      <c r="F62" s="2">
        <v>2</v>
      </c>
      <c r="G62" s="2">
        <v>190</v>
      </c>
      <c r="H62" s="2">
        <v>380</v>
      </c>
    </row>
    <row r="63" spans="1:8" x14ac:dyDescent="0.3">
      <c r="A63" s="2">
        <v>62</v>
      </c>
      <c r="B63" s="3">
        <v>46084</v>
      </c>
      <c r="C63" s="2" t="s">
        <v>8</v>
      </c>
      <c r="D63" s="2" t="s">
        <v>9</v>
      </c>
      <c r="E63" s="2" t="s">
        <v>10</v>
      </c>
      <c r="F63" s="2">
        <v>5</v>
      </c>
      <c r="G63" s="2">
        <v>210</v>
      </c>
      <c r="H63" s="2">
        <v>1050</v>
      </c>
    </row>
    <row r="64" spans="1:8" x14ac:dyDescent="0.3">
      <c r="A64" s="2">
        <v>63</v>
      </c>
      <c r="B64" s="3">
        <v>46085</v>
      </c>
      <c r="C64" s="2" t="s">
        <v>8</v>
      </c>
      <c r="D64" s="2" t="s">
        <v>20</v>
      </c>
      <c r="E64" s="2" t="s">
        <v>10</v>
      </c>
      <c r="F64" s="2">
        <v>3</v>
      </c>
      <c r="G64" s="2">
        <v>210</v>
      </c>
      <c r="H64" s="2">
        <v>630</v>
      </c>
    </row>
    <row r="65" spans="1:8" x14ac:dyDescent="0.3">
      <c r="A65" s="2">
        <v>64</v>
      </c>
      <c r="B65" s="3">
        <v>46086</v>
      </c>
      <c r="C65" s="2" t="s">
        <v>18</v>
      </c>
      <c r="D65" s="2" t="s">
        <v>12</v>
      </c>
      <c r="E65" s="2" t="s">
        <v>16</v>
      </c>
      <c r="F65" s="2">
        <v>5</v>
      </c>
      <c r="G65" s="2">
        <v>300</v>
      </c>
      <c r="H65" s="2">
        <v>1500</v>
      </c>
    </row>
    <row r="66" spans="1:8" x14ac:dyDescent="0.3">
      <c r="A66" s="2">
        <v>65</v>
      </c>
      <c r="B66" s="3">
        <v>46087</v>
      </c>
      <c r="C66" s="2" t="s">
        <v>18</v>
      </c>
      <c r="D66" s="2" t="s">
        <v>19</v>
      </c>
      <c r="E66" s="2" t="s">
        <v>13</v>
      </c>
      <c r="F66" s="2">
        <v>4</v>
      </c>
      <c r="G66" s="2">
        <v>2100</v>
      </c>
      <c r="H66" s="2">
        <v>8400</v>
      </c>
    </row>
    <row r="67" spans="1:8" x14ac:dyDescent="0.3">
      <c r="A67" s="2">
        <v>66</v>
      </c>
      <c r="B67" s="3">
        <v>46088</v>
      </c>
      <c r="C67" s="2" t="s">
        <v>22</v>
      </c>
      <c r="D67" s="2" t="s">
        <v>12</v>
      </c>
      <c r="E67" s="2" t="s">
        <v>10</v>
      </c>
      <c r="F67" s="2">
        <v>5</v>
      </c>
      <c r="G67" s="2">
        <v>210</v>
      </c>
      <c r="H67" s="2">
        <v>1050</v>
      </c>
    </row>
    <row r="68" spans="1:8" x14ac:dyDescent="0.3">
      <c r="A68" s="2">
        <v>67</v>
      </c>
      <c r="B68" s="3">
        <v>46089</v>
      </c>
      <c r="C68" s="2" t="s">
        <v>15</v>
      </c>
      <c r="D68" s="2" t="s">
        <v>9</v>
      </c>
      <c r="E68" s="2" t="s">
        <v>10</v>
      </c>
      <c r="F68" s="2">
        <v>7</v>
      </c>
      <c r="G68" s="2">
        <v>210</v>
      </c>
      <c r="H68" s="2">
        <v>1470</v>
      </c>
    </row>
    <row r="69" spans="1:8" x14ac:dyDescent="0.3">
      <c r="A69" s="2">
        <v>68</v>
      </c>
      <c r="B69" s="3">
        <v>46090</v>
      </c>
      <c r="C69" s="2" t="s">
        <v>15</v>
      </c>
      <c r="D69" s="2" t="s">
        <v>9</v>
      </c>
      <c r="E69" s="2" t="s">
        <v>10</v>
      </c>
      <c r="F69" s="2">
        <v>3</v>
      </c>
      <c r="G69" s="2">
        <v>210</v>
      </c>
      <c r="H69" s="2">
        <v>630</v>
      </c>
    </row>
    <row r="70" spans="1:8" x14ac:dyDescent="0.3">
      <c r="A70" s="2">
        <v>69</v>
      </c>
      <c r="B70" s="3">
        <v>46091</v>
      </c>
      <c r="C70" s="2" t="s">
        <v>18</v>
      </c>
      <c r="D70" s="2" t="s">
        <v>19</v>
      </c>
      <c r="E70" s="2" t="s">
        <v>23</v>
      </c>
      <c r="F70" s="2">
        <v>5</v>
      </c>
      <c r="G70" s="2">
        <v>1500</v>
      </c>
      <c r="H70" s="2">
        <v>7500</v>
      </c>
    </row>
    <row r="71" spans="1:8" x14ac:dyDescent="0.3">
      <c r="A71" s="2">
        <v>70</v>
      </c>
      <c r="B71" s="3">
        <v>46092</v>
      </c>
      <c r="C71" s="2" t="s">
        <v>18</v>
      </c>
      <c r="D71" s="2" t="s">
        <v>19</v>
      </c>
      <c r="E71" s="2" t="s">
        <v>10</v>
      </c>
      <c r="F71" s="2">
        <v>3</v>
      </c>
      <c r="G71" s="2">
        <v>210</v>
      </c>
      <c r="H71" s="2">
        <v>630</v>
      </c>
    </row>
    <row r="72" spans="1:8" x14ac:dyDescent="0.3">
      <c r="A72" s="2">
        <v>71</v>
      </c>
      <c r="B72" s="3">
        <v>46093</v>
      </c>
      <c r="C72" s="2" t="s">
        <v>22</v>
      </c>
      <c r="D72" s="2" t="s">
        <v>9</v>
      </c>
      <c r="E72" s="2" t="s">
        <v>23</v>
      </c>
      <c r="F72" s="2">
        <v>4</v>
      </c>
      <c r="G72" s="2">
        <v>1500</v>
      </c>
      <c r="H72" s="2">
        <v>6000</v>
      </c>
    </row>
    <row r="73" spans="1:8" x14ac:dyDescent="0.3">
      <c r="A73" s="2">
        <v>72</v>
      </c>
      <c r="B73" s="3">
        <v>46094</v>
      </c>
      <c r="C73" s="2" t="s">
        <v>22</v>
      </c>
      <c r="D73" s="2" t="s">
        <v>20</v>
      </c>
      <c r="E73" s="2" t="s">
        <v>23</v>
      </c>
      <c r="F73" s="2">
        <v>7</v>
      </c>
      <c r="G73" s="2">
        <v>1500</v>
      </c>
      <c r="H73" s="2">
        <v>10500</v>
      </c>
    </row>
    <row r="74" spans="1:8" x14ac:dyDescent="0.3">
      <c r="A74" s="2">
        <v>73</v>
      </c>
      <c r="B74" s="3">
        <v>46095</v>
      </c>
      <c r="C74" s="2" t="s">
        <v>8</v>
      </c>
      <c r="D74" s="2" t="s">
        <v>19</v>
      </c>
      <c r="E74" s="2" t="s">
        <v>13</v>
      </c>
      <c r="F74" s="2">
        <v>3</v>
      </c>
      <c r="G74" s="2">
        <v>2100</v>
      </c>
      <c r="H74" s="2">
        <v>6300</v>
      </c>
    </row>
    <row r="75" spans="1:8" x14ac:dyDescent="0.3">
      <c r="A75" s="2">
        <v>74</v>
      </c>
      <c r="B75" s="3">
        <v>46096</v>
      </c>
      <c r="C75" s="2" t="s">
        <v>11</v>
      </c>
      <c r="D75" s="2" t="s">
        <v>12</v>
      </c>
      <c r="E75" s="2" t="s">
        <v>10</v>
      </c>
      <c r="F75" s="2">
        <v>6</v>
      </c>
      <c r="G75" s="2">
        <v>210</v>
      </c>
      <c r="H75" s="2">
        <v>1260</v>
      </c>
    </row>
    <row r="76" spans="1:8" x14ac:dyDescent="0.3">
      <c r="A76" s="2">
        <v>75</v>
      </c>
      <c r="B76" s="3">
        <v>46097</v>
      </c>
      <c r="C76" s="2" t="s">
        <v>8</v>
      </c>
      <c r="D76" s="2" t="s">
        <v>9</v>
      </c>
      <c r="E76" s="2" t="s">
        <v>14</v>
      </c>
      <c r="F76" s="2">
        <v>4</v>
      </c>
      <c r="G76" s="2">
        <v>190</v>
      </c>
      <c r="H76" s="2">
        <v>760</v>
      </c>
    </row>
    <row r="77" spans="1:8" x14ac:dyDescent="0.3">
      <c r="A77" s="2">
        <v>76</v>
      </c>
      <c r="B77" s="3">
        <v>46098</v>
      </c>
      <c r="C77" s="2" t="s">
        <v>17</v>
      </c>
      <c r="D77" s="2" t="s">
        <v>9</v>
      </c>
      <c r="E77" s="2" t="s">
        <v>16</v>
      </c>
      <c r="F77" s="2">
        <v>5</v>
      </c>
      <c r="G77" s="2">
        <v>300</v>
      </c>
      <c r="H77" s="2">
        <v>1500</v>
      </c>
    </row>
    <row r="78" spans="1:8" x14ac:dyDescent="0.3">
      <c r="A78" s="2">
        <v>77</v>
      </c>
      <c r="B78" s="3">
        <v>46099</v>
      </c>
      <c r="C78" s="2" t="s">
        <v>15</v>
      </c>
      <c r="D78" s="2" t="s">
        <v>12</v>
      </c>
      <c r="E78" s="2" t="s">
        <v>10</v>
      </c>
      <c r="F78" s="2">
        <v>6</v>
      </c>
      <c r="G78" s="2">
        <v>210</v>
      </c>
      <c r="H78" s="2">
        <v>1260</v>
      </c>
    </row>
    <row r="79" spans="1:8" x14ac:dyDescent="0.3">
      <c r="A79" s="2">
        <v>78</v>
      </c>
      <c r="B79" s="3">
        <v>46100</v>
      </c>
      <c r="C79" s="2" t="s">
        <v>17</v>
      </c>
      <c r="D79" s="2" t="s">
        <v>12</v>
      </c>
      <c r="E79" s="2" t="s">
        <v>10</v>
      </c>
      <c r="F79" s="2">
        <v>6</v>
      </c>
      <c r="G79" s="2">
        <v>210</v>
      </c>
      <c r="H79" s="2">
        <v>1260</v>
      </c>
    </row>
    <row r="80" spans="1:8" x14ac:dyDescent="0.3">
      <c r="A80" s="2">
        <v>79</v>
      </c>
      <c r="B80" s="3">
        <v>46101</v>
      </c>
      <c r="C80" s="2" t="s">
        <v>17</v>
      </c>
      <c r="D80" s="2" t="s">
        <v>12</v>
      </c>
      <c r="E80" s="2" t="s">
        <v>23</v>
      </c>
      <c r="F80" s="2">
        <v>2</v>
      </c>
      <c r="G80" s="2">
        <v>1500</v>
      </c>
      <c r="H80" s="2">
        <v>3000</v>
      </c>
    </row>
    <row r="81" spans="1:8" x14ac:dyDescent="0.3">
      <c r="A81" s="2">
        <v>80</v>
      </c>
      <c r="B81" s="3">
        <v>46102</v>
      </c>
      <c r="C81" s="2" t="s">
        <v>15</v>
      </c>
      <c r="D81" s="2" t="s">
        <v>12</v>
      </c>
      <c r="E81" s="2" t="s">
        <v>16</v>
      </c>
      <c r="F81" s="2">
        <v>6</v>
      </c>
      <c r="G81" s="2">
        <v>300</v>
      </c>
      <c r="H81" s="2">
        <v>1800</v>
      </c>
    </row>
    <row r="82" spans="1:8" x14ac:dyDescent="0.3">
      <c r="A82" s="2">
        <v>81</v>
      </c>
      <c r="B82" s="3">
        <v>46103</v>
      </c>
      <c r="C82" s="2" t="s">
        <v>17</v>
      </c>
      <c r="D82" s="2" t="s">
        <v>9</v>
      </c>
      <c r="E82" s="2" t="s">
        <v>23</v>
      </c>
      <c r="F82" s="2">
        <v>7</v>
      </c>
      <c r="G82" s="2">
        <v>1500</v>
      </c>
      <c r="H82" s="2">
        <v>10500</v>
      </c>
    </row>
    <row r="83" spans="1:8" x14ac:dyDescent="0.3">
      <c r="A83" s="2">
        <v>82</v>
      </c>
      <c r="B83" s="3">
        <v>46104</v>
      </c>
      <c r="C83" s="2" t="s">
        <v>15</v>
      </c>
      <c r="D83" s="2" t="s">
        <v>20</v>
      </c>
      <c r="E83" s="2" t="s">
        <v>21</v>
      </c>
      <c r="F83" s="2">
        <v>3</v>
      </c>
      <c r="G83" s="2">
        <v>1200</v>
      </c>
      <c r="H83" s="2">
        <v>3600</v>
      </c>
    </row>
    <row r="84" spans="1:8" x14ac:dyDescent="0.3">
      <c r="A84" s="2">
        <v>83</v>
      </c>
      <c r="B84" s="3">
        <v>46105</v>
      </c>
      <c r="C84" s="2" t="s">
        <v>8</v>
      </c>
      <c r="D84" s="2" t="s">
        <v>20</v>
      </c>
      <c r="E84" s="2" t="s">
        <v>13</v>
      </c>
      <c r="F84" s="2">
        <v>4</v>
      </c>
      <c r="G84" s="2">
        <v>2100</v>
      </c>
      <c r="H84" s="2">
        <v>8400</v>
      </c>
    </row>
    <row r="85" spans="1:8" x14ac:dyDescent="0.3">
      <c r="A85" s="2">
        <v>84</v>
      </c>
      <c r="B85" s="3">
        <v>46106</v>
      </c>
      <c r="C85" s="2" t="s">
        <v>22</v>
      </c>
      <c r="D85" s="2" t="s">
        <v>12</v>
      </c>
      <c r="E85" s="2" t="s">
        <v>14</v>
      </c>
      <c r="F85" s="2">
        <v>7</v>
      </c>
      <c r="G85" s="2">
        <v>190</v>
      </c>
      <c r="H85" s="2">
        <v>1330</v>
      </c>
    </row>
    <row r="86" spans="1:8" x14ac:dyDescent="0.3">
      <c r="A86" s="2">
        <v>85</v>
      </c>
      <c r="B86" s="3">
        <v>46107</v>
      </c>
      <c r="C86" s="2" t="s">
        <v>11</v>
      </c>
      <c r="D86" s="2" t="s">
        <v>19</v>
      </c>
      <c r="E86" s="2" t="s">
        <v>21</v>
      </c>
      <c r="F86" s="2">
        <v>2</v>
      </c>
      <c r="G86" s="2">
        <v>1200</v>
      </c>
      <c r="H86" s="2">
        <v>2400</v>
      </c>
    </row>
    <row r="87" spans="1:8" x14ac:dyDescent="0.3">
      <c r="A87" s="2">
        <v>86</v>
      </c>
      <c r="B87" s="3">
        <v>46108</v>
      </c>
      <c r="C87" s="2" t="s">
        <v>17</v>
      </c>
      <c r="D87" s="2" t="s">
        <v>19</v>
      </c>
      <c r="E87" s="2" t="s">
        <v>16</v>
      </c>
      <c r="F87" s="2">
        <v>6</v>
      </c>
      <c r="G87" s="2">
        <v>300</v>
      </c>
      <c r="H87" s="2">
        <v>1800</v>
      </c>
    </row>
    <row r="88" spans="1:8" x14ac:dyDescent="0.3">
      <c r="A88" s="2">
        <v>87</v>
      </c>
      <c r="B88" s="3">
        <v>46109</v>
      </c>
      <c r="C88" s="2" t="s">
        <v>17</v>
      </c>
      <c r="D88" s="2" t="s">
        <v>9</v>
      </c>
      <c r="E88" s="2" t="s">
        <v>16</v>
      </c>
      <c r="F88" s="2">
        <v>3</v>
      </c>
      <c r="G88" s="2">
        <v>300</v>
      </c>
      <c r="H88" s="2">
        <v>900</v>
      </c>
    </row>
    <row r="89" spans="1:8" x14ac:dyDescent="0.3">
      <c r="A89" s="2">
        <v>88</v>
      </c>
      <c r="B89" s="3">
        <v>46110</v>
      </c>
      <c r="C89" s="2" t="s">
        <v>15</v>
      </c>
      <c r="D89" s="2" t="s">
        <v>20</v>
      </c>
      <c r="E89" s="2" t="s">
        <v>13</v>
      </c>
      <c r="F89" s="2">
        <v>4</v>
      </c>
      <c r="G89" s="2">
        <v>2100</v>
      </c>
      <c r="H89" s="2">
        <v>8400</v>
      </c>
    </row>
    <row r="90" spans="1:8" x14ac:dyDescent="0.3">
      <c r="A90" s="2">
        <v>89</v>
      </c>
      <c r="B90" s="3">
        <v>46111</v>
      </c>
      <c r="C90" s="2" t="s">
        <v>17</v>
      </c>
      <c r="D90" s="2" t="s">
        <v>12</v>
      </c>
      <c r="E90" s="2" t="s">
        <v>21</v>
      </c>
      <c r="F90" s="2">
        <v>4</v>
      </c>
      <c r="G90" s="2">
        <v>1200</v>
      </c>
      <c r="H90" s="2">
        <v>4800</v>
      </c>
    </row>
    <row r="91" spans="1:8" x14ac:dyDescent="0.3">
      <c r="A91" s="2">
        <v>90</v>
      </c>
      <c r="B91" s="3">
        <v>46112</v>
      </c>
      <c r="C91" s="2" t="s">
        <v>18</v>
      </c>
      <c r="D91" s="2" t="s">
        <v>19</v>
      </c>
      <c r="E91" s="2" t="s">
        <v>16</v>
      </c>
      <c r="F91" s="2">
        <v>7</v>
      </c>
      <c r="G91" s="2">
        <v>300</v>
      </c>
      <c r="H91" s="2">
        <v>2100</v>
      </c>
    </row>
    <row r="92" spans="1:8" x14ac:dyDescent="0.3">
      <c r="A92" s="2">
        <v>91</v>
      </c>
      <c r="B92" s="3">
        <v>46113</v>
      </c>
      <c r="C92" s="2" t="s">
        <v>11</v>
      </c>
      <c r="D92" s="2" t="s">
        <v>9</v>
      </c>
      <c r="E92" s="2" t="s">
        <v>14</v>
      </c>
      <c r="F92" s="2">
        <v>6</v>
      </c>
      <c r="G92" s="2">
        <v>190</v>
      </c>
      <c r="H92" s="2">
        <v>1140</v>
      </c>
    </row>
    <row r="93" spans="1:8" x14ac:dyDescent="0.3">
      <c r="A93" s="2">
        <v>92</v>
      </c>
      <c r="B93" s="3">
        <v>46114</v>
      </c>
      <c r="C93" s="2" t="s">
        <v>11</v>
      </c>
      <c r="D93" s="2" t="s">
        <v>9</v>
      </c>
      <c r="E93" s="2" t="s">
        <v>13</v>
      </c>
      <c r="F93" s="2">
        <v>4</v>
      </c>
      <c r="G93" s="2">
        <v>2100</v>
      </c>
      <c r="H93" s="2">
        <v>8400</v>
      </c>
    </row>
    <row r="94" spans="1:8" x14ac:dyDescent="0.3">
      <c r="A94" s="2">
        <v>93</v>
      </c>
      <c r="B94" s="3">
        <v>46115</v>
      </c>
      <c r="C94" s="2" t="s">
        <v>17</v>
      </c>
      <c r="D94" s="2" t="s">
        <v>9</v>
      </c>
      <c r="E94" s="2" t="s">
        <v>14</v>
      </c>
      <c r="F94" s="2">
        <v>6</v>
      </c>
      <c r="G94" s="2">
        <v>190</v>
      </c>
      <c r="H94" s="2">
        <v>1140</v>
      </c>
    </row>
    <row r="95" spans="1:8" x14ac:dyDescent="0.3">
      <c r="A95" s="2">
        <v>94</v>
      </c>
      <c r="B95" s="3">
        <v>46116</v>
      </c>
      <c r="C95" s="2" t="s">
        <v>18</v>
      </c>
      <c r="D95" s="2" t="s">
        <v>20</v>
      </c>
      <c r="E95" s="2" t="s">
        <v>21</v>
      </c>
      <c r="F95" s="2">
        <v>6</v>
      </c>
      <c r="G95" s="2">
        <v>1200</v>
      </c>
      <c r="H95" s="2">
        <v>7200</v>
      </c>
    </row>
    <row r="96" spans="1:8" x14ac:dyDescent="0.3">
      <c r="A96" s="2">
        <v>95</v>
      </c>
      <c r="B96" s="3">
        <v>46117</v>
      </c>
      <c r="C96" s="2" t="s">
        <v>18</v>
      </c>
      <c r="D96" s="2" t="s">
        <v>20</v>
      </c>
      <c r="E96" s="2" t="s">
        <v>13</v>
      </c>
      <c r="F96" s="2">
        <v>7</v>
      </c>
      <c r="G96" s="2">
        <v>2100</v>
      </c>
      <c r="H96" s="2">
        <v>14700</v>
      </c>
    </row>
    <row r="97" spans="1:8" x14ac:dyDescent="0.3">
      <c r="A97" s="2">
        <v>96</v>
      </c>
      <c r="B97" s="3">
        <v>46118</v>
      </c>
      <c r="C97" s="2" t="s">
        <v>8</v>
      </c>
      <c r="D97" s="2" t="s">
        <v>20</v>
      </c>
      <c r="E97" s="2" t="s">
        <v>16</v>
      </c>
      <c r="F97" s="2">
        <v>5</v>
      </c>
      <c r="G97" s="2">
        <v>300</v>
      </c>
      <c r="H97" s="2">
        <v>1500</v>
      </c>
    </row>
    <row r="98" spans="1:8" x14ac:dyDescent="0.3">
      <c r="A98" s="2">
        <v>97</v>
      </c>
      <c r="B98" s="3">
        <v>46119</v>
      </c>
      <c r="C98" s="2" t="s">
        <v>11</v>
      </c>
      <c r="D98" s="2" t="s">
        <v>9</v>
      </c>
      <c r="E98" s="2" t="s">
        <v>10</v>
      </c>
      <c r="F98" s="2">
        <v>7</v>
      </c>
      <c r="G98" s="2">
        <v>210</v>
      </c>
      <c r="H98" s="2">
        <v>1470</v>
      </c>
    </row>
    <row r="99" spans="1:8" x14ac:dyDescent="0.3">
      <c r="A99" s="2">
        <v>98</v>
      </c>
      <c r="B99" s="3">
        <v>46120</v>
      </c>
      <c r="C99" s="2" t="s">
        <v>22</v>
      </c>
      <c r="D99" s="2" t="s">
        <v>20</v>
      </c>
      <c r="E99" s="2" t="s">
        <v>10</v>
      </c>
      <c r="F99" s="2">
        <v>2</v>
      </c>
      <c r="G99" s="2">
        <v>210</v>
      </c>
      <c r="H99" s="2">
        <v>420</v>
      </c>
    </row>
    <row r="100" spans="1:8" x14ac:dyDescent="0.3">
      <c r="A100" s="2">
        <v>99</v>
      </c>
      <c r="B100" s="3">
        <v>46121</v>
      </c>
      <c r="C100" s="2" t="s">
        <v>11</v>
      </c>
      <c r="D100" s="2" t="s">
        <v>12</v>
      </c>
      <c r="E100" s="2" t="s">
        <v>14</v>
      </c>
      <c r="F100" s="2">
        <v>4</v>
      </c>
      <c r="G100" s="2">
        <v>190</v>
      </c>
      <c r="H100" s="2">
        <v>760</v>
      </c>
    </row>
    <row r="101" spans="1:8" x14ac:dyDescent="0.3">
      <c r="A101" s="2">
        <v>100</v>
      </c>
      <c r="B101" s="3">
        <v>46122</v>
      </c>
      <c r="C101" s="2" t="s">
        <v>18</v>
      </c>
      <c r="D101" s="2" t="s">
        <v>19</v>
      </c>
      <c r="E101" s="2" t="s">
        <v>16</v>
      </c>
      <c r="F101" s="2">
        <v>7</v>
      </c>
      <c r="G101" s="2">
        <v>300</v>
      </c>
      <c r="H101" s="2">
        <v>2100</v>
      </c>
    </row>
    <row r="102" spans="1:8" x14ac:dyDescent="0.3">
      <c r="A102" s="2">
        <v>101</v>
      </c>
      <c r="B102" s="3">
        <v>46123</v>
      </c>
      <c r="C102" s="2" t="s">
        <v>22</v>
      </c>
      <c r="D102" s="2" t="s">
        <v>9</v>
      </c>
      <c r="E102" s="2" t="s">
        <v>10</v>
      </c>
      <c r="F102" s="2">
        <v>2</v>
      </c>
      <c r="G102" s="2">
        <v>210</v>
      </c>
      <c r="H102" s="2">
        <v>420</v>
      </c>
    </row>
    <row r="103" spans="1:8" x14ac:dyDescent="0.3">
      <c r="A103" s="2">
        <v>102</v>
      </c>
      <c r="B103" s="3">
        <v>46124</v>
      </c>
      <c r="C103" s="2" t="s">
        <v>8</v>
      </c>
      <c r="D103" s="2" t="s">
        <v>12</v>
      </c>
      <c r="E103" s="2" t="s">
        <v>16</v>
      </c>
      <c r="F103" s="2">
        <v>2</v>
      </c>
      <c r="G103" s="2">
        <v>300</v>
      </c>
      <c r="H103" s="2">
        <v>600</v>
      </c>
    </row>
    <row r="104" spans="1:8" x14ac:dyDescent="0.3">
      <c r="A104" s="2">
        <v>103</v>
      </c>
      <c r="B104" s="3">
        <v>46125</v>
      </c>
      <c r="C104" s="2" t="s">
        <v>11</v>
      </c>
      <c r="D104" s="2" t="s">
        <v>12</v>
      </c>
      <c r="E104" s="2" t="s">
        <v>23</v>
      </c>
      <c r="F104" s="2">
        <v>3</v>
      </c>
      <c r="G104" s="2">
        <v>1500</v>
      </c>
      <c r="H104" s="2">
        <v>4500</v>
      </c>
    </row>
    <row r="105" spans="1:8" x14ac:dyDescent="0.3">
      <c r="A105" s="2">
        <v>104</v>
      </c>
      <c r="B105" s="3">
        <v>46126</v>
      </c>
      <c r="C105" s="2" t="s">
        <v>17</v>
      </c>
      <c r="D105" s="2" t="s">
        <v>20</v>
      </c>
      <c r="E105" s="2" t="s">
        <v>21</v>
      </c>
      <c r="F105" s="2">
        <v>2</v>
      </c>
      <c r="G105" s="2">
        <v>1200</v>
      </c>
      <c r="H105" s="2">
        <v>2400</v>
      </c>
    </row>
    <row r="106" spans="1:8" x14ac:dyDescent="0.3">
      <c r="A106" s="2">
        <v>105</v>
      </c>
      <c r="B106" s="3">
        <v>46127</v>
      </c>
      <c r="C106" s="2" t="s">
        <v>11</v>
      </c>
      <c r="D106" s="2" t="s">
        <v>12</v>
      </c>
      <c r="E106" s="2" t="s">
        <v>14</v>
      </c>
      <c r="F106" s="2">
        <v>3</v>
      </c>
      <c r="G106" s="2">
        <v>190</v>
      </c>
      <c r="H106" s="2">
        <v>570</v>
      </c>
    </row>
    <row r="107" spans="1:8" x14ac:dyDescent="0.3">
      <c r="A107" s="2">
        <v>106</v>
      </c>
      <c r="B107" s="3">
        <v>46128</v>
      </c>
      <c r="C107" s="2" t="s">
        <v>8</v>
      </c>
      <c r="D107" s="2" t="s">
        <v>9</v>
      </c>
      <c r="E107" s="2" t="s">
        <v>21</v>
      </c>
      <c r="F107" s="2">
        <v>6</v>
      </c>
      <c r="G107" s="2">
        <v>1200</v>
      </c>
      <c r="H107" s="2">
        <v>7200</v>
      </c>
    </row>
    <row r="108" spans="1:8" x14ac:dyDescent="0.3">
      <c r="A108" s="2">
        <v>107</v>
      </c>
      <c r="B108" s="3">
        <v>46129</v>
      </c>
      <c r="C108" s="2" t="s">
        <v>22</v>
      </c>
      <c r="D108" s="2" t="s">
        <v>12</v>
      </c>
      <c r="E108" s="2" t="s">
        <v>13</v>
      </c>
      <c r="F108" s="2">
        <v>3</v>
      </c>
      <c r="G108" s="2">
        <v>2100</v>
      </c>
      <c r="H108" s="2">
        <v>6300</v>
      </c>
    </row>
    <row r="109" spans="1:8" x14ac:dyDescent="0.3">
      <c r="A109" s="2">
        <v>108</v>
      </c>
      <c r="B109" s="3">
        <v>46130</v>
      </c>
      <c r="C109" s="2" t="s">
        <v>18</v>
      </c>
      <c r="D109" s="2" t="s">
        <v>19</v>
      </c>
      <c r="E109" s="2" t="s">
        <v>10</v>
      </c>
      <c r="F109" s="2">
        <v>3</v>
      </c>
      <c r="G109" s="2">
        <v>210</v>
      </c>
      <c r="H109" s="2">
        <v>630</v>
      </c>
    </row>
    <row r="110" spans="1:8" x14ac:dyDescent="0.3">
      <c r="A110" s="2">
        <v>109</v>
      </c>
      <c r="B110" s="3">
        <v>46131</v>
      </c>
      <c r="C110" s="2" t="s">
        <v>8</v>
      </c>
      <c r="D110" s="2" t="s">
        <v>20</v>
      </c>
      <c r="E110" s="2" t="s">
        <v>23</v>
      </c>
      <c r="F110" s="2">
        <v>7</v>
      </c>
      <c r="G110" s="2">
        <v>1500</v>
      </c>
      <c r="H110" s="2">
        <v>10500</v>
      </c>
    </row>
    <row r="111" spans="1:8" x14ac:dyDescent="0.3">
      <c r="A111" s="2">
        <v>110</v>
      </c>
      <c r="B111" s="3">
        <v>46132</v>
      </c>
      <c r="C111" s="2" t="s">
        <v>8</v>
      </c>
      <c r="D111" s="2" t="s">
        <v>12</v>
      </c>
      <c r="E111" s="2" t="s">
        <v>21</v>
      </c>
      <c r="F111" s="2">
        <v>3</v>
      </c>
      <c r="G111" s="2">
        <v>1200</v>
      </c>
      <c r="H111" s="2">
        <v>3600</v>
      </c>
    </row>
    <row r="112" spans="1:8" x14ac:dyDescent="0.3">
      <c r="A112" s="2">
        <v>111</v>
      </c>
      <c r="B112" s="3">
        <v>46133</v>
      </c>
      <c r="C112" s="2" t="s">
        <v>8</v>
      </c>
      <c r="D112" s="2" t="s">
        <v>9</v>
      </c>
      <c r="E112" s="2" t="s">
        <v>23</v>
      </c>
      <c r="F112" s="2">
        <v>2</v>
      </c>
      <c r="G112" s="2">
        <v>1500</v>
      </c>
      <c r="H112" s="2">
        <v>3000</v>
      </c>
    </row>
    <row r="113" spans="1:8" x14ac:dyDescent="0.3">
      <c r="A113" s="2">
        <v>112</v>
      </c>
      <c r="B113" s="3">
        <v>46134</v>
      </c>
      <c r="C113" s="2" t="s">
        <v>22</v>
      </c>
      <c r="D113" s="2" t="s">
        <v>12</v>
      </c>
      <c r="E113" s="2" t="s">
        <v>13</v>
      </c>
      <c r="F113" s="2">
        <v>5</v>
      </c>
      <c r="G113" s="2">
        <v>2100</v>
      </c>
      <c r="H113" s="2">
        <v>10500</v>
      </c>
    </row>
    <row r="114" spans="1:8" x14ac:dyDescent="0.3">
      <c r="A114" s="2">
        <v>113</v>
      </c>
      <c r="B114" s="3">
        <v>46135</v>
      </c>
      <c r="C114" s="2" t="s">
        <v>11</v>
      </c>
      <c r="D114" s="2" t="s">
        <v>20</v>
      </c>
      <c r="E114" s="2" t="s">
        <v>13</v>
      </c>
      <c r="F114" s="2">
        <v>3</v>
      </c>
      <c r="G114" s="2">
        <v>2100</v>
      </c>
      <c r="H114" s="2">
        <v>6300</v>
      </c>
    </row>
    <row r="115" spans="1:8" x14ac:dyDescent="0.3">
      <c r="A115" s="2">
        <v>114</v>
      </c>
      <c r="B115" s="3">
        <v>46136</v>
      </c>
      <c r="C115" s="2" t="s">
        <v>17</v>
      </c>
      <c r="D115" s="2" t="s">
        <v>12</v>
      </c>
      <c r="E115" s="2" t="s">
        <v>23</v>
      </c>
      <c r="F115" s="2">
        <v>4</v>
      </c>
      <c r="G115" s="2">
        <v>1500</v>
      </c>
      <c r="H115" s="2">
        <v>6000</v>
      </c>
    </row>
    <row r="116" spans="1:8" x14ac:dyDescent="0.3">
      <c r="A116" s="2">
        <v>115</v>
      </c>
      <c r="B116" s="3">
        <v>46137</v>
      </c>
      <c r="C116" s="2" t="s">
        <v>11</v>
      </c>
      <c r="D116" s="2" t="s">
        <v>9</v>
      </c>
      <c r="E116" s="2" t="s">
        <v>21</v>
      </c>
      <c r="F116" s="2">
        <v>4</v>
      </c>
      <c r="G116" s="2">
        <v>1200</v>
      </c>
      <c r="H116" s="2">
        <v>4800</v>
      </c>
    </row>
    <row r="117" spans="1:8" x14ac:dyDescent="0.3">
      <c r="A117" s="2">
        <v>116</v>
      </c>
      <c r="B117" s="3">
        <v>46138</v>
      </c>
      <c r="C117" s="2" t="s">
        <v>8</v>
      </c>
      <c r="D117" s="2" t="s">
        <v>19</v>
      </c>
      <c r="E117" s="2" t="s">
        <v>14</v>
      </c>
      <c r="F117" s="2">
        <v>6</v>
      </c>
      <c r="G117" s="2">
        <v>190</v>
      </c>
      <c r="H117" s="2">
        <v>1140</v>
      </c>
    </row>
    <row r="118" spans="1:8" x14ac:dyDescent="0.3">
      <c r="A118" s="2">
        <v>117</v>
      </c>
      <c r="B118" s="3">
        <v>46139</v>
      </c>
      <c r="C118" s="2" t="s">
        <v>11</v>
      </c>
      <c r="D118" s="2" t="s">
        <v>9</v>
      </c>
      <c r="E118" s="2" t="s">
        <v>10</v>
      </c>
      <c r="F118" s="2">
        <v>4</v>
      </c>
      <c r="G118" s="2">
        <v>210</v>
      </c>
      <c r="H118" s="2">
        <v>840</v>
      </c>
    </row>
    <row r="119" spans="1:8" x14ac:dyDescent="0.3">
      <c r="A119" s="2">
        <v>118</v>
      </c>
      <c r="B119" s="3">
        <v>46140</v>
      </c>
      <c r="C119" s="2" t="s">
        <v>18</v>
      </c>
      <c r="D119" s="2" t="s">
        <v>20</v>
      </c>
      <c r="E119" s="2" t="s">
        <v>10</v>
      </c>
      <c r="F119" s="2">
        <v>2</v>
      </c>
      <c r="G119" s="2">
        <v>210</v>
      </c>
      <c r="H119" s="2">
        <v>420</v>
      </c>
    </row>
    <row r="120" spans="1:8" x14ac:dyDescent="0.3">
      <c r="A120" s="2">
        <v>119</v>
      </c>
      <c r="B120" s="3">
        <v>46141</v>
      </c>
      <c r="C120" s="2" t="s">
        <v>15</v>
      </c>
      <c r="D120" s="2" t="s">
        <v>19</v>
      </c>
      <c r="E120" s="2" t="s">
        <v>21</v>
      </c>
      <c r="F120" s="2">
        <v>7</v>
      </c>
      <c r="G120" s="2">
        <v>1200</v>
      </c>
      <c r="H120" s="2">
        <v>8400</v>
      </c>
    </row>
    <row r="121" spans="1:8" x14ac:dyDescent="0.3">
      <c r="A121" s="2">
        <v>120</v>
      </c>
      <c r="B121" s="3">
        <v>46142</v>
      </c>
      <c r="C121" s="2" t="s">
        <v>11</v>
      </c>
      <c r="D121" s="2" t="s">
        <v>19</v>
      </c>
      <c r="E121" s="2" t="s">
        <v>16</v>
      </c>
      <c r="F121" s="2">
        <v>6</v>
      </c>
      <c r="G121" s="2">
        <v>300</v>
      </c>
      <c r="H121" s="2">
        <v>1800</v>
      </c>
    </row>
    <row r="122" spans="1:8" x14ac:dyDescent="0.3">
      <c r="A122" s="2">
        <v>121</v>
      </c>
      <c r="B122" s="3">
        <v>46143</v>
      </c>
      <c r="C122" s="2" t="s">
        <v>17</v>
      </c>
      <c r="D122" s="2" t="s">
        <v>19</v>
      </c>
      <c r="E122" s="2" t="s">
        <v>16</v>
      </c>
      <c r="F122" s="2">
        <v>3</v>
      </c>
      <c r="G122" s="2">
        <v>300</v>
      </c>
      <c r="H122" s="2">
        <v>900</v>
      </c>
    </row>
    <row r="123" spans="1:8" x14ac:dyDescent="0.3">
      <c r="A123" s="2">
        <v>122</v>
      </c>
      <c r="B123" s="3">
        <v>46144</v>
      </c>
      <c r="C123" s="2" t="s">
        <v>11</v>
      </c>
      <c r="D123" s="2" t="s">
        <v>9</v>
      </c>
      <c r="E123" s="2" t="s">
        <v>14</v>
      </c>
      <c r="F123" s="2">
        <v>5</v>
      </c>
      <c r="G123" s="2">
        <v>190</v>
      </c>
      <c r="H123" s="2">
        <v>950</v>
      </c>
    </row>
    <row r="124" spans="1:8" x14ac:dyDescent="0.3">
      <c r="A124" s="2">
        <v>123</v>
      </c>
      <c r="B124" s="3">
        <v>46145</v>
      </c>
      <c r="C124" s="2" t="s">
        <v>17</v>
      </c>
      <c r="D124" s="2" t="s">
        <v>12</v>
      </c>
      <c r="E124" s="2" t="s">
        <v>21</v>
      </c>
      <c r="F124" s="2">
        <v>5</v>
      </c>
      <c r="G124" s="2">
        <v>1200</v>
      </c>
      <c r="H124" s="2">
        <v>6000</v>
      </c>
    </row>
    <row r="125" spans="1:8" x14ac:dyDescent="0.3">
      <c r="A125" s="2">
        <v>124</v>
      </c>
      <c r="B125" s="3">
        <v>46146</v>
      </c>
      <c r="C125" s="2" t="s">
        <v>17</v>
      </c>
      <c r="D125" s="2" t="s">
        <v>20</v>
      </c>
      <c r="E125" s="2" t="s">
        <v>16</v>
      </c>
      <c r="F125" s="2">
        <v>4</v>
      </c>
      <c r="G125" s="2">
        <v>300</v>
      </c>
      <c r="H125" s="2">
        <v>1200</v>
      </c>
    </row>
    <row r="126" spans="1:8" x14ac:dyDescent="0.3">
      <c r="A126" s="2">
        <v>125</v>
      </c>
      <c r="B126" s="3">
        <v>46147</v>
      </c>
      <c r="C126" s="2" t="s">
        <v>8</v>
      </c>
      <c r="D126" s="2" t="s">
        <v>9</v>
      </c>
      <c r="E126" s="2" t="s">
        <v>14</v>
      </c>
      <c r="F126" s="2">
        <v>4</v>
      </c>
      <c r="G126" s="2">
        <v>190</v>
      </c>
      <c r="H126" s="2">
        <v>760</v>
      </c>
    </row>
    <row r="127" spans="1:8" x14ac:dyDescent="0.3">
      <c r="A127" s="2">
        <v>126</v>
      </c>
      <c r="B127" s="3">
        <v>46148</v>
      </c>
      <c r="C127" s="2" t="s">
        <v>15</v>
      </c>
      <c r="D127" s="2" t="s">
        <v>20</v>
      </c>
      <c r="E127" s="2" t="s">
        <v>14</v>
      </c>
      <c r="F127" s="2">
        <v>5</v>
      </c>
      <c r="G127" s="2">
        <v>190</v>
      </c>
      <c r="H127" s="2">
        <v>950</v>
      </c>
    </row>
    <row r="128" spans="1:8" x14ac:dyDescent="0.3">
      <c r="A128" s="2">
        <v>127</v>
      </c>
      <c r="B128" s="3">
        <v>46149</v>
      </c>
      <c r="C128" s="2" t="s">
        <v>11</v>
      </c>
      <c r="D128" s="2" t="s">
        <v>19</v>
      </c>
      <c r="E128" s="2" t="s">
        <v>14</v>
      </c>
      <c r="F128" s="2">
        <v>4</v>
      </c>
      <c r="G128" s="2">
        <v>190</v>
      </c>
      <c r="H128" s="2">
        <v>760</v>
      </c>
    </row>
    <row r="129" spans="1:8" x14ac:dyDescent="0.3">
      <c r="A129" s="2">
        <v>128</v>
      </c>
      <c r="B129" s="3">
        <v>46150</v>
      </c>
      <c r="C129" s="2" t="s">
        <v>15</v>
      </c>
      <c r="D129" s="2" t="s">
        <v>12</v>
      </c>
      <c r="E129" s="2" t="s">
        <v>13</v>
      </c>
      <c r="F129" s="2">
        <v>5</v>
      </c>
      <c r="G129" s="2">
        <v>2100</v>
      </c>
      <c r="H129" s="2">
        <v>10500</v>
      </c>
    </row>
    <row r="130" spans="1:8" x14ac:dyDescent="0.3">
      <c r="A130" s="2">
        <v>129</v>
      </c>
      <c r="B130" s="3">
        <v>46151</v>
      </c>
      <c r="C130" s="2" t="s">
        <v>8</v>
      </c>
      <c r="D130" s="2" t="s">
        <v>19</v>
      </c>
      <c r="E130" s="2" t="s">
        <v>14</v>
      </c>
      <c r="F130" s="2">
        <v>7</v>
      </c>
      <c r="G130" s="2">
        <v>190</v>
      </c>
      <c r="H130" s="2">
        <v>1330</v>
      </c>
    </row>
    <row r="131" spans="1:8" x14ac:dyDescent="0.3">
      <c r="A131" s="2">
        <v>130</v>
      </c>
      <c r="B131" s="3">
        <v>46152</v>
      </c>
      <c r="C131" s="2" t="s">
        <v>18</v>
      </c>
      <c r="D131" s="2" t="s">
        <v>20</v>
      </c>
      <c r="E131" s="2" t="s">
        <v>23</v>
      </c>
      <c r="F131" s="2">
        <v>6</v>
      </c>
      <c r="G131" s="2">
        <v>1500</v>
      </c>
      <c r="H131" s="2">
        <v>9000</v>
      </c>
    </row>
    <row r="132" spans="1:8" x14ac:dyDescent="0.3">
      <c r="A132" s="2">
        <v>131</v>
      </c>
      <c r="B132" s="3">
        <v>46153</v>
      </c>
      <c r="C132" s="2" t="s">
        <v>17</v>
      </c>
      <c r="D132" s="2" t="s">
        <v>20</v>
      </c>
      <c r="E132" s="2" t="s">
        <v>21</v>
      </c>
      <c r="F132" s="2">
        <v>3</v>
      </c>
      <c r="G132" s="2">
        <v>1200</v>
      </c>
      <c r="H132" s="2">
        <v>3600</v>
      </c>
    </row>
    <row r="133" spans="1:8" x14ac:dyDescent="0.3">
      <c r="A133" s="2">
        <v>132</v>
      </c>
      <c r="B133" s="3">
        <v>46154</v>
      </c>
      <c r="C133" s="2" t="s">
        <v>22</v>
      </c>
      <c r="D133" s="2" t="s">
        <v>20</v>
      </c>
      <c r="E133" s="2" t="s">
        <v>23</v>
      </c>
      <c r="F133" s="2">
        <v>5</v>
      </c>
      <c r="G133" s="2">
        <v>1500</v>
      </c>
      <c r="H133" s="2">
        <v>7500</v>
      </c>
    </row>
    <row r="134" spans="1:8" x14ac:dyDescent="0.3">
      <c r="A134" s="2">
        <v>133</v>
      </c>
      <c r="B134" s="3">
        <v>46155</v>
      </c>
      <c r="C134" s="2" t="s">
        <v>22</v>
      </c>
      <c r="D134" s="2" t="s">
        <v>12</v>
      </c>
      <c r="E134" s="2" t="s">
        <v>16</v>
      </c>
      <c r="F134" s="2">
        <v>5</v>
      </c>
      <c r="G134" s="2">
        <v>300</v>
      </c>
      <c r="H134" s="2">
        <v>1500</v>
      </c>
    </row>
    <row r="135" spans="1:8" x14ac:dyDescent="0.3">
      <c r="A135" s="2">
        <v>134</v>
      </c>
      <c r="B135" s="3">
        <v>46156</v>
      </c>
      <c r="C135" s="2" t="s">
        <v>8</v>
      </c>
      <c r="D135" s="2" t="s">
        <v>12</v>
      </c>
      <c r="E135" s="2" t="s">
        <v>14</v>
      </c>
      <c r="F135" s="2">
        <v>2</v>
      </c>
      <c r="G135" s="2">
        <v>190</v>
      </c>
      <c r="H135" s="2">
        <v>380</v>
      </c>
    </row>
    <row r="136" spans="1:8" x14ac:dyDescent="0.3">
      <c r="A136" s="2">
        <v>135</v>
      </c>
      <c r="B136" s="3">
        <v>46157</v>
      </c>
      <c r="C136" s="2" t="s">
        <v>11</v>
      </c>
      <c r="D136" s="2" t="s">
        <v>20</v>
      </c>
      <c r="E136" s="2" t="s">
        <v>10</v>
      </c>
      <c r="F136" s="2">
        <v>3</v>
      </c>
      <c r="G136" s="2">
        <v>210</v>
      </c>
      <c r="H136" s="2">
        <v>630</v>
      </c>
    </row>
    <row r="137" spans="1:8" x14ac:dyDescent="0.3">
      <c r="A137" s="2">
        <v>136</v>
      </c>
      <c r="B137" s="3">
        <v>46158</v>
      </c>
      <c r="C137" s="2" t="s">
        <v>8</v>
      </c>
      <c r="D137" s="2" t="s">
        <v>20</v>
      </c>
      <c r="E137" s="2" t="s">
        <v>13</v>
      </c>
      <c r="F137" s="2">
        <v>3</v>
      </c>
      <c r="G137" s="2">
        <v>2100</v>
      </c>
      <c r="H137" s="2">
        <v>6300</v>
      </c>
    </row>
    <row r="138" spans="1:8" x14ac:dyDescent="0.3">
      <c r="A138" s="2">
        <v>137</v>
      </c>
      <c r="B138" s="3">
        <v>46159</v>
      </c>
      <c r="C138" s="2" t="s">
        <v>18</v>
      </c>
      <c r="D138" s="2" t="s">
        <v>9</v>
      </c>
      <c r="E138" s="2" t="s">
        <v>10</v>
      </c>
      <c r="F138" s="2">
        <v>3</v>
      </c>
      <c r="G138" s="2">
        <v>210</v>
      </c>
      <c r="H138" s="2">
        <v>630</v>
      </c>
    </row>
    <row r="139" spans="1:8" x14ac:dyDescent="0.3">
      <c r="A139" s="2">
        <v>138</v>
      </c>
      <c r="B139" s="3">
        <v>46160</v>
      </c>
      <c r="C139" s="2" t="s">
        <v>22</v>
      </c>
      <c r="D139" s="2" t="s">
        <v>9</v>
      </c>
      <c r="E139" s="2" t="s">
        <v>23</v>
      </c>
      <c r="F139" s="2">
        <v>5</v>
      </c>
      <c r="G139" s="2">
        <v>1500</v>
      </c>
      <c r="H139" s="2">
        <v>7500</v>
      </c>
    </row>
    <row r="140" spans="1:8" x14ac:dyDescent="0.3">
      <c r="A140" s="2">
        <v>139</v>
      </c>
      <c r="B140" s="3">
        <v>46161</v>
      </c>
      <c r="C140" s="2" t="s">
        <v>8</v>
      </c>
      <c r="D140" s="2" t="s">
        <v>12</v>
      </c>
      <c r="E140" s="2" t="s">
        <v>14</v>
      </c>
      <c r="F140" s="2">
        <v>7</v>
      </c>
      <c r="G140" s="2">
        <v>190</v>
      </c>
      <c r="H140" s="2">
        <v>1330</v>
      </c>
    </row>
    <row r="141" spans="1:8" x14ac:dyDescent="0.3">
      <c r="A141" s="2">
        <v>140</v>
      </c>
      <c r="B141" s="3">
        <v>46162</v>
      </c>
      <c r="C141" s="2" t="s">
        <v>22</v>
      </c>
      <c r="D141" s="2" t="s">
        <v>19</v>
      </c>
      <c r="E141" s="2" t="s">
        <v>23</v>
      </c>
      <c r="F141" s="2">
        <v>3</v>
      </c>
      <c r="G141" s="2">
        <v>1500</v>
      </c>
      <c r="H141" s="2">
        <v>4500</v>
      </c>
    </row>
    <row r="142" spans="1:8" x14ac:dyDescent="0.3">
      <c r="A142" s="2">
        <v>141</v>
      </c>
      <c r="B142" s="3">
        <v>46163</v>
      </c>
      <c r="C142" s="2" t="s">
        <v>18</v>
      </c>
      <c r="D142" s="2" t="s">
        <v>9</v>
      </c>
      <c r="E142" s="2" t="s">
        <v>10</v>
      </c>
      <c r="F142" s="2">
        <v>5</v>
      </c>
      <c r="G142" s="2">
        <v>210</v>
      </c>
      <c r="H142" s="2">
        <v>1050</v>
      </c>
    </row>
    <row r="143" spans="1:8" x14ac:dyDescent="0.3">
      <c r="A143" s="2">
        <v>142</v>
      </c>
      <c r="B143" s="3">
        <v>46164</v>
      </c>
      <c r="C143" s="2" t="s">
        <v>18</v>
      </c>
      <c r="D143" s="2" t="s">
        <v>12</v>
      </c>
      <c r="E143" s="2" t="s">
        <v>14</v>
      </c>
      <c r="F143" s="2">
        <v>6</v>
      </c>
      <c r="G143" s="2">
        <v>190</v>
      </c>
      <c r="H143" s="2">
        <v>1140</v>
      </c>
    </row>
    <row r="144" spans="1:8" x14ac:dyDescent="0.3">
      <c r="A144" s="2">
        <v>143</v>
      </c>
      <c r="B144" s="3">
        <v>46165</v>
      </c>
      <c r="C144" s="2" t="s">
        <v>22</v>
      </c>
      <c r="D144" s="2" t="s">
        <v>9</v>
      </c>
      <c r="E144" s="2" t="s">
        <v>16</v>
      </c>
      <c r="F144" s="2">
        <v>3</v>
      </c>
      <c r="G144" s="2">
        <v>300</v>
      </c>
      <c r="H144" s="2">
        <v>900</v>
      </c>
    </row>
    <row r="145" spans="1:8" x14ac:dyDescent="0.3">
      <c r="A145" s="2">
        <v>144</v>
      </c>
      <c r="B145" s="3">
        <v>46166</v>
      </c>
      <c r="C145" s="2" t="s">
        <v>17</v>
      </c>
      <c r="D145" s="2" t="s">
        <v>19</v>
      </c>
      <c r="E145" s="2" t="s">
        <v>13</v>
      </c>
      <c r="F145" s="2">
        <v>5</v>
      </c>
      <c r="G145" s="2">
        <v>2100</v>
      </c>
      <c r="H145" s="2">
        <v>10500</v>
      </c>
    </row>
    <row r="146" spans="1:8" x14ac:dyDescent="0.3">
      <c r="A146" s="2">
        <v>145</v>
      </c>
      <c r="B146" s="3">
        <v>46167</v>
      </c>
      <c r="C146" s="2" t="s">
        <v>8</v>
      </c>
      <c r="D146" s="2" t="s">
        <v>20</v>
      </c>
      <c r="E146" s="2" t="s">
        <v>23</v>
      </c>
      <c r="F146" s="2">
        <v>6</v>
      </c>
      <c r="G146" s="2">
        <v>1500</v>
      </c>
      <c r="H146" s="2">
        <v>9000</v>
      </c>
    </row>
    <row r="147" spans="1:8" x14ac:dyDescent="0.3">
      <c r="A147" s="2">
        <v>146</v>
      </c>
      <c r="B147" s="3">
        <v>46168</v>
      </c>
      <c r="C147" s="2" t="s">
        <v>8</v>
      </c>
      <c r="D147" s="2" t="s">
        <v>19</v>
      </c>
      <c r="E147" s="2" t="s">
        <v>16</v>
      </c>
      <c r="F147" s="2">
        <v>5</v>
      </c>
      <c r="G147" s="2">
        <v>300</v>
      </c>
      <c r="H147" s="2">
        <v>1500</v>
      </c>
    </row>
    <row r="148" spans="1:8" x14ac:dyDescent="0.3">
      <c r="A148" s="2">
        <v>147</v>
      </c>
      <c r="B148" s="3">
        <v>46169</v>
      </c>
      <c r="C148" s="2" t="s">
        <v>18</v>
      </c>
      <c r="D148" s="2" t="s">
        <v>19</v>
      </c>
      <c r="E148" s="2" t="s">
        <v>23</v>
      </c>
      <c r="F148" s="2">
        <v>4</v>
      </c>
      <c r="G148" s="2">
        <v>1500</v>
      </c>
      <c r="H148" s="2">
        <v>6000</v>
      </c>
    </row>
    <row r="149" spans="1:8" x14ac:dyDescent="0.3">
      <c r="A149" s="2">
        <v>148</v>
      </c>
      <c r="B149" s="3">
        <v>46170</v>
      </c>
      <c r="C149" s="2" t="s">
        <v>18</v>
      </c>
      <c r="D149" s="2" t="s">
        <v>20</v>
      </c>
      <c r="E149" s="2" t="s">
        <v>16</v>
      </c>
      <c r="F149" s="2">
        <v>5</v>
      </c>
      <c r="G149" s="2">
        <v>300</v>
      </c>
      <c r="H149" s="2">
        <v>1500</v>
      </c>
    </row>
    <row r="150" spans="1:8" x14ac:dyDescent="0.3">
      <c r="A150" s="2">
        <v>149</v>
      </c>
      <c r="B150" s="3">
        <v>46171</v>
      </c>
      <c r="C150" s="2" t="s">
        <v>8</v>
      </c>
      <c r="D150" s="2" t="s">
        <v>12</v>
      </c>
      <c r="E150" s="2" t="s">
        <v>21</v>
      </c>
      <c r="F150" s="2">
        <v>5</v>
      </c>
      <c r="G150" s="2">
        <v>1200</v>
      </c>
      <c r="H150" s="2">
        <v>6000</v>
      </c>
    </row>
    <row r="151" spans="1:8" x14ac:dyDescent="0.3">
      <c r="A151" s="2">
        <v>150</v>
      </c>
      <c r="B151" s="3">
        <v>46172</v>
      </c>
      <c r="C151" s="2" t="s">
        <v>17</v>
      </c>
      <c r="D151" s="2" t="s">
        <v>20</v>
      </c>
      <c r="E151" s="2" t="s">
        <v>13</v>
      </c>
      <c r="F151" s="2">
        <v>4</v>
      </c>
      <c r="G151" s="2">
        <v>2100</v>
      </c>
      <c r="H151" s="2">
        <v>8400</v>
      </c>
    </row>
    <row r="152" spans="1:8" x14ac:dyDescent="0.3">
      <c r="A152" s="2">
        <v>151</v>
      </c>
      <c r="B152" s="3">
        <v>46173</v>
      </c>
      <c r="C152" s="2" t="s">
        <v>11</v>
      </c>
      <c r="D152" s="2" t="s">
        <v>20</v>
      </c>
      <c r="E152" s="2" t="s">
        <v>16</v>
      </c>
      <c r="F152" s="2">
        <v>2</v>
      </c>
      <c r="G152" s="2">
        <v>300</v>
      </c>
      <c r="H152" s="2">
        <v>600</v>
      </c>
    </row>
    <row r="153" spans="1:8" x14ac:dyDescent="0.3">
      <c r="A153" s="2">
        <v>152</v>
      </c>
      <c r="B153" s="3">
        <v>46174</v>
      </c>
      <c r="C153" s="2" t="s">
        <v>18</v>
      </c>
      <c r="D153" s="2" t="s">
        <v>12</v>
      </c>
      <c r="E153" s="2" t="s">
        <v>13</v>
      </c>
      <c r="F153" s="2">
        <v>5</v>
      </c>
      <c r="G153" s="2">
        <v>2100</v>
      </c>
      <c r="H153" s="2">
        <v>10500</v>
      </c>
    </row>
    <row r="154" spans="1:8" x14ac:dyDescent="0.3">
      <c r="A154" s="2">
        <v>153</v>
      </c>
      <c r="B154" s="3">
        <v>46175</v>
      </c>
      <c r="C154" s="2" t="s">
        <v>8</v>
      </c>
      <c r="D154" s="2" t="s">
        <v>12</v>
      </c>
      <c r="E154" s="2" t="s">
        <v>14</v>
      </c>
      <c r="F154" s="2">
        <v>3</v>
      </c>
      <c r="G154" s="2">
        <v>190</v>
      </c>
      <c r="H154" s="2">
        <v>570</v>
      </c>
    </row>
    <row r="155" spans="1:8" x14ac:dyDescent="0.3">
      <c r="A155" s="2">
        <v>154</v>
      </c>
      <c r="B155" s="3">
        <v>46176</v>
      </c>
      <c r="C155" s="2" t="s">
        <v>17</v>
      </c>
      <c r="D155" s="2" t="s">
        <v>19</v>
      </c>
      <c r="E155" s="2" t="s">
        <v>23</v>
      </c>
      <c r="F155" s="2">
        <v>4</v>
      </c>
      <c r="G155" s="2">
        <v>1500</v>
      </c>
      <c r="H155" s="2">
        <v>6000</v>
      </c>
    </row>
    <row r="156" spans="1:8" x14ac:dyDescent="0.3">
      <c r="A156" s="2">
        <v>155</v>
      </c>
      <c r="B156" s="3">
        <v>46177</v>
      </c>
      <c r="C156" s="2" t="s">
        <v>15</v>
      </c>
      <c r="D156" s="2" t="s">
        <v>19</v>
      </c>
      <c r="E156" s="2" t="s">
        <v>23</v>
      </c>
      <c r="F156" s="2">
        <v>2</v>
      </c>
      <c r="G156" s="2">
        <v>1500</v>
      </c>
      <c r="H156" s="2">
        <v>3000</v>
      </c>
    </row>
    <row r="157" spans="1:8" x14ac:dyDescent="0.3">
      <c r="A157" s="2">
        <v>156</v>
      </c>
      <c r="B157" s="3">
        <v>46178</v>
      </c>
      <c r="C157" s="2" t="s">
        <v>18</v>
      </c>
      <c r="D157" s="2" t="s">
        <v>19</v>
      </c>
      <c r="E157" s="2" t="s">
        <v>23</v>
      </c>
      <c r="F157" s="2">
        <v>6</v>
      </c>
      <c r="G157" s="2">
        <v>1500</v>
      </c>
      <c r="H157" s="2">
        <v>9000</v>
      </c>
    </row>
    <row r="158" spans="1:8" x14ac:dyDescent="0.3">
      <c r="A158" s="2">
        <v>157</v>
      </c>
      <c r="B158" s="3">
        <v>46179</v>
      </c>
      <c r="C158" s="2" t="s">
        <v>8</v>
      </c>
      <c r="D158" s="2" t="s">
        <v>9</v>
      </c>
      <c r="E158" s="2" t="s">
        <v>16</v>
      </c>
      <c r="F158" s="2">
        <v>5</v>
      </c>
      <c r="G158" s="2">
        <v>300</v>
      </c>
      <c r="H158" s="2">
        <v>1500</v>
      </c>
    </row>
    <row r="159" spans="1:8" x14ac:dyDescent="0.3">
      <c r="A159" s="2">
        <v>158</v>
      </c>
      <c r="B159" s="3">
        <v>46180</v>
      </c>
      <c r="C159" s="2" t="s">
        <v>22</v>
      </c>
      <c r="D159" s="2" t="s">
        <v>9</v>
      </c>
      <c r="E159" s="2" t="s">
        <v>21</v>
      </c>
      <c r="F159" s="2">
        <v>4</v>
      </c>
      <c r="G159" s="2">
        <v>1200</v>
      </c>
      <c r="H159" s="2">
        <v>4800</v>
      </c>
    </row>
    <row r="160" spans="1:8" x14ac:dyDescent="0.3">
      <c r="A160" s="2">
        <v>159</v>
      </c>
      <c r="B160" s="3">
        <v>46181</v>
      </c>
      <c r="C160" s="2" t="s">
        <v>22</v>
      </c>
      <c r="D160" s="2" t="s">
        <v>19</v>
      </c>
      <c r="E160" s="2" t="s">
        <v>16</v>
      </c>
      <c r="F160" s="2">
        <v>7</v>
      </c>
      <c r="G160" s="2">
        <v>300</v>
      </c>
      <c r="H160" s="2">
        <v>2100</v>
      </c>
    </row>
    <row r="161" spans="1:8" x14ac:dyDescent="0.3">
      <c r="A161" s="2">
        <v>160</v>
      </c>
      <c r="B161" s="3">
        <v>46182</v>
      </c>
      <c r="C161" s="2" t="s">
        <v>8</v>
      </c>
      <c r="D161" s="2" t="s">
        <v>12</v>
      </c>
      <c r="E161" s="2" t="s">
        <v>23</v>
      </c>
      <c r="F161" s="2">
        <v>3</v>
      </c>
      <c r="G161" s="2">
        <v>1500</v>
      </c>
      <c r="H161" s="2">
        <v>4500</v>
      </c>
    </row>
    <row r="162" spans="1:8" x14ac:dyDescent="0.3">
      <c r="A162" s="2">
        <v>161</v>
      </c>
      <c r="B162" s="3">
        <v>46183</v>
      </c>
      <c r="C162" s="2" t="s">
        <v>11</v>
      </c>
      <c r="D162" s="2" t="s">
        <v>19</v>
      </c>
      <c r="E162" s="2" t="s">
        <v>23</v>
      </c>
      <c r="F162" s="2">
        <v>2</v>
      </c>
      <c r="G162" s="2">
        <v>1500</v>
      </c>
      <c r="H162" s="2">
        <v>3000</v>
      </c>
    </row>
    <row r="163" spans="1:8" x14ac:dyDescent="0.3">
      <c r="A163" s="2">
        <v>162</v>
      </c>
      <c r="B163" s="3">
        <v>46184</v>
      </c>
      <c r="C163" s="2" t="s">
        <v>22</v>
      </c>
      <c r="D163" s="2" t="s">
        <v>20</v>
      </c>
      <c r="E163" s="2" t="s">
        <v>14</v>
      </c>
      <c r="F163" s="2">
        <v>7</v>
      </c>
      <c r="G163" s="2">
        <v>190</v>
      </c>
      <c r="H163" s="2">
        <v>1330</v>
      </c>
    </row>
    <row r="164" spans="1:8" x14ac:dyDescent="0.3">
      <c r="A164" s="2">
        <v>163</v>
      </c>
      <c r="B164" s="3">
        <v>46185</v>
      </c>
      <c r="C164" s="2" t="s">
        <v>22</v>
      </c>
      <c r="D164" s="2" t="s">
        <v>12</v>
      </c>
      <c r="E164" s="2" t="s">
        <v>23</v>
      </c>
      <c r="F164" s="2">
        <v>3</v>
      </c>
      <c r="G164" s="2">
        <v>1500</v>
      </c>
      <c r="H164" s="2">
        <v>4500</v>
      </c>
    </row>
    <row r="165" spans="1:8" x14ac:dyDescent="0.3">
      <c r="A165" s="2">
        <v>164</v>
      </c>
      <c r="B165" s="3">
        <v>46186</v>
      </c>
      <c r="C165" s="2" t="s">
        <v>15</v>
      </c>
      <c r="D165" s="2" t="s">
        <v>9</v>
      </c>
      <c r="E165" s="2" t="s">
        <v>23</v>
      </c>
      <c r="F165" s="2">
        <v>6</v>
      </c>
      <c r="G165" s="2">
        <v>1500</v>
      </c>
      <c r="H165" s="2">
        <v>9000</v>
      </c>
    </row>
    <row r="166" spans="1:8" x14ac:dyDescent="0.3">
      <c r="A166" s="2">
        <v>165</v>
      </c>
      <c r="B166" s="3">
        <v>46187</v>
      </c>
      <c r="C166" s="2" t="s">
        <v>15</v>
      </c>
      <c r="D166" s="2" t="s">
        <v>9</v>
      </c>
      <c r="E166" s="2" t="s">
        <v>10</v>
      </c>
      <c r="F166" s="2">
        <v>7</v>
      </c>
      <c r="G166" s="2">
        <v>210</v>
      </c>
      <c r="H166" s="2">
        <v>1470</v>
      </c>
    </row>
    <row r="167" spans="1:8" x14ac:dyDescent="0.3">
      <c r="A167" s="2">
        <v>166</v>
      </c>
      <c r="B167" s="3">
        <v>46188</v>
      </c>
      <c r="C167" s="2" t="s">
        <v>22</v>
      </c>
      <c r="D167" s="2" t="s">
        <v>12</v>
      </c>
      <c r="E167" s="2" t="s">
        <v>23</v>
      </c>
      <c r="F167" s="2">
        <v>3</v>
      </c>
      <c r="G167" s="2">
        <v>1500</v>
      </c>
      <c r="H167" s="2">
        <v>4500</v>
      </c>
    </row>
    <row r="168" spans="1:8" x14ac:dyDescent="0.3">
      <c r="A168" s="2">
        <v>167</v>
      </c>
      <c r="B168" s="3">
        <v>46189</v>
      </c>
      <c r="C168" s="2" t="s">
        <v>17</v>
      </c>
      <c r="D168" s="2" t="s">
        <v>20</v>
      </c>
      <c r="E168" s="2" t="s">
        <v>23</v>
      </c>
      <c r="F168" s="2">
        <v>4</v>
      </c>
      <c r="G168" s="2">
        <v>1500</v>
      </c>
      <c r="H168" s="2">
        <v>6000</v>
      </c>
    </row>
    <row r="169" spans="1:8" x14ac:dyDescent="0.3">
      <c r="A169" s="2">
        <v>168</v>
      </c>
      <c r="B169" s="3">
        <v>46190</v>
      </c>
      <c r="C169" s="2" t="s">
        <v>18</v>
      </c>
      <c r="D169" s="2" t="s">
        <v>19</v>
      </c>
      <c r="E169" s="2" t="s">
        <v>21</v>
      </c>
      <c r="F169" s="2">
        <v>4</v>
      </c>
      <c r="G169" s="2">
        <v>1200</v>
      </c>
      <c r="H169" s="2">
        <v>4800</v>
      </c>
    </row>
    <row r="170" spans="1:8" x14ac:dyDescent="0.3">
      <c r="A170" s="2">
        <v>169</v>
      </c>
      <c r="B170" s="3">
        <v>46191</v>
      </c>
      <c r="C170" s="2" t="s">
        <v>22</v>
      </c>
      <c r="D170" s="2" t="s">
        <v>20</v>
      </c>
      <c r="E170" s="2" t="s">
        <v>23</v>
      </c>
      <c r="F170" s="2">
        <v>4</v>
      </c>
      <c r="G170" s="2">
        <v>1500</v>
      </c>
      <c r="H170" s="2">
        <v>6000</v>
      </c>
    </row>
    <row r="171" spans="1:8" x14ac:dyDescent="0.3">
      <c r="A171" s="2">
        <v>170</v>
      </c>
      <c r="B171" s="3">
        <v>46192</v>
      </c>
      <c r="C171" s="2" t="s">
        <v>17</v>
      </c>
      <c r="D171" s="2" t="s">
        <v>19</v>
      </c>
      <c r="E171" s="2" t="s">
        <v>10</v>
      </c>
      <c r="F171" s="2">
        <v>7</v>
      </c>
      <c r="G171" s="2">
        <v>210</v>
      </c>
      <c r="H171" s="2">
        <v>1470</v>
      </c>
    </row>
    <row r="172" spans="1:8" x14ac:dyDescent="0.3">
      <c r="A172" s="2">
        <v>171</v>
      </c>
      <c r="B172" s="3">
        <v>46193</v>
      </c>
      <c r="C172" s="2" t="s">
        <v>15</v>
      </c>
      <c r="D172" s="2" t="s">
        <v>9</v>
      </c>
      <c r="E172" s="2" t="s">
        <v>21</v>
      </c>
      <c r="F172" s="2">
        <v>3</v>
      </c>
      <c r="G172" s="2">
        <v>1200</v>
      </c>
      <c r="H172" s="2">
        <v>3600</v>
      </c>
    </row>
    <row r="173" spans="1:8" x14ac:dyDescent="0.3">
      <c r="A173" s="2">
        <v>172</v>
      </c>
      <c r="B173" s="3">
        <v>46194</v>
      </c>
      <c r="C173" s="2" t="s">
        <v>8</v>
      </c>
      <c r="D173" s="2" t="s">
        <v>9</v>
      </c>
      <c r="E173" s="2" t="s">
        <v>14</v>
      </c>
      <c r="F173" s="2">
        <v>2</v>
      </c>
      <c r="G173" s="2">
        <v>190</v>
      </c>
      <c r="H173" s="2">
        <v>380</v>
      </c>
    </row>
    <row r="174" spans="1:8" x14ac:dyDescent="0.3">
      <c r="A174" s="2">
        <v>173</v>
      </c>
      <c r="B174" s="3">
        <v>46195</v>
      </c>
      <c r="C174" s="2" t="s">
        <v>17</v>
      </c>
      <c r="D174" s="2" t="s">
        <v>12</v>
      </c>
      <c r="E174" s="2" t="s">
        <v>13</v>
      </c>
      <c r="F174" s="2">
        <v>2</v>
      </c>
      <c r="G174" s="2">
        <v>2100</v>
      </c>
      <c r="H174" s="2">
        <v>4200</v>
      </c>
    </row>
    <row r="175" spans="1:8" x14ac:dyDescent="0.3">
      <c r="A175" s="2">
        <v>174</v>
      </c>
      <c r="B175" s="3">
        <v>46196</v>
      </c>
      <c r="C175" s="2" t="s">
        <v>15</v>
      </c>
      <c r="D175" s="2" t="s">
        <v>12</v>
      </c>
      <c r="E175" s="2" t="s">
        <v>13</v>
      </c>
      <c r="F175" s="2">
        <v>3</v>
      </c>
      <c r="G175" s="2">
        <v>2100</v>
      </c>
      <c r="H175" s="2">
        <v>6300</v>
      </c>
    </row>
    <row r="176" spans="1:8" x14ac:dyDescent="0.3">
      <c r="A176" s="2">
        <v>175</v>
      </c>
      <c r="B176" s="3">
        <v>46197</v>
      </c>
      <c r="C176" s="2" t="s">
        <v>22</v>
      </c>
      <c r="D176" s="2" t="s">
        <v>9</v>
      </c>
      <c r="E176" s="2" t="s">
        <v>16</v>
      </c>
      <c r="F176" s="2">
        <v>3</v>
      </c>
      <c r="G176" s="2">
        <v>300</v>
      </c>
      <c r="H176" s="2">
        <v>900</v>
      </c>
    </row>
    <row r="177" spans="1:8" x14ac:dyDescent="0.3">
      <c r="A177" s="2">
        <v>176</v>
      </c>
      <c r="B177" s="3">
        <v>46198</v>
      </c>
      <c r="C177" s="2" t="s">
        <v>22</v>
      </c>
      <c r="D177" s="2" t="s">
        <v>20</v>
      </c>
      <c r="E177" s="2" t="s">
        <v>21</v>
      </c>
      <c r="F177" s="2">
        <v>3</v>
      </c>
      <c r="G177" s="2">
        <v>1200</v>
      </c>
      <c r="H177" s="2">
        <v>3600</v>
      </c>
    </row>
    <row r="178" spans="1:8" x14ac:dyDescent="0.3">
      <c r="A178" s="2">
        <v>177</v>
      </c>
      <c r="B178" s="3">
        <v>46199</v>
      </c>
      <c r="C178" s="2" t="s">
        <v>15</v>
      </c>
      <c r="D178" s="2" t="s">
        <v>9</v>
      </c>
      <c r="E178" s="2" t="s">
        <v>13</v>
      </c>
      <c r="F178" s="2">
        <v>4</v>
      </c>
      <c r="G178" s="2">
        <v>2100</v>
      </c>
      <c r="H178" s="2">
        <v>8400</v>
      </c>
    </row>
    <row r="179" spans="1:8" x14ac:dyDescent="0.3">
      <c r="A179" s="2">
        <v>178</v>
      </c>
      <c r="B179" s="3">
        <v>46200</v>
      </c>
      <c r="C179" s="2" t="s">
        <v>17</v>
      </c>
      <c r="D179" s="2" t="s">
        <v>9</v>
      </c>
      <c r="E179" s="2" t="s">
        <v>21</v>
      </c>
      <c r="F179" s="2">
        <v>6</v>
      </c>
      <c r="G179" s="2">
        <v>1200</v>
      </c>
      <c r="H179" s="2">
        <v>7200</v>
      </c>
    </row>
    <row r="180" spans="1:8" x14ac:dyDescent="0.3">
      <c r="A180" s="2">
        <v>179</v>
      </c>
      <c r="B180" s="3">
        <v>46201</v>
      </c>
      <c r="C180" s="2" t="s">
        <v>8</v>
      </c>
      <c r="D180" s="2" t="s">
        <v>19</v>
      </c>
      <c r="E180" s="2" t="s">
        <v>23</v>
      </c>
      <c r="F180" s="2">
        <v>7</v>
      </c>
      <c r="G180" s="2">
        <v>1500</v>
      </c>
      <c r="H180" s="2">
        <v>10500</v>
      </c>
    </row>
    <row r="181" spans="1:8" x14ac:dyDescent="0.3">
      <c r="A181" s="2">
        <v>180</v>
      </c>
      <c r="B181" s="3">
        <v>46202</v>
      </c>
      <c r="C181" s="2" t="s">
        <v>18</v>
      </c>
      <c r="D181" s="2" t="s">
        <v>9</v>
      </c>
      <c r="E181" s="2" t="s">
        <v>16</v>
      </c>
      <c r="F181" s="2">
        <v>7</v>
      </c>
      <c r="G181" s="2">
        <v>300</v>
      </c>
      <c r="H181" s="2">
        <v>2100</v>
      </c>
    </row>
    <row r="182" spans="1:8" x14ac:dyDescent="0.3">
      <c r="A182" s="2">
        <v>181</v>
      </c>
      <c r="B182" s="3">
        <v>46203</v>
      </c>
      <c r="C182" s="2" t="s">
        <v>8</v>
      </c>
      <c r="D182" s="2" t="s">
        <v>12</v>
      </c>
      <c r="E182" s="2" t="s">
        <v>10</v>
      </c>
      <c r="F182" s="2">
        <v>7</v>
      </c>
      <c r="G182" s="2">
        <v>210</v>
      </c>
      <c r="H182" s="2">
        <v>1470</v>
      </c>
    </row>
    <row r="183" spans="1:8" x14ac:dyDescent="0.3">
      <c r="A183" s="2">
        <v>182</v>
      </c>
      <c r="B183" s="3">
        <v>46204</v>
      </c>
      <c r="C183" s="2" t="s">
        <v>11</v>
      </c>
      <c r="D183" s="2" t="s">
        <v>9</v>
      </c>
      <c r="E183" s="2" t="s">
        <v>16</v>
      </c>
      <c r="F183" s="2">
        <v>2</v>
      </c>
      <c r="G183" s="2">
        <v>300</v>
      </c>
      <c r="H183" s="2">
        <v>600</v>
      </c>
    </row>
    <row r="184" spans="1:8" x14ac:dyDescent="0.3">
      <c r="A184" s="2">
        <v>183</v>
      </c>
      <c r="B184" s="3">
        <v>46205</v>
      </c>
      <c r="C184" s="2" t="s">
        <v>11</v>
      </c>
      <c r="D184" s="2" t="s">
        <v>19</v>
      </c>
      <c r="E184" s="2" t="s">
        <v>14</v>
      </c>
      <c r="F184" s="2">
        <v>4</v>
      </c>
      <c r="G184" s="2">
        <v>190</v>
      </c>
      <c r="H184" s="2">
        <v>760</v>
      </c>
    </row>
    <row r="185" spans="1:8" x14ac:dyDescent="0.3">
      <c r="A185" s="2">
        <v>184</v>
      </c>
      <c r="B185" s="3">
        <v>46206</v>
      </c>
      <c r="C185" s="2" t="s">
        <v>17</v>
      </c>
      <c r="D185" s="2" t="s">
        <v>20</v>
      </c>
      <c r="E185" s="2" t="s">
        <v>10</v>
      </c>
      <c r="F185" s="2">
        <v>5</v>
      </c>
      <c r="G185" s="2">
        <v>210</v>
      </c>
      <c r="H185" s="2">
        <v>1050</v>
      </c>
    </row>
    <row r="186" spans="1:8" x14ac:dyDescent="0.3">
      <c r="A186" s="2">
        <v>185</v>
      </c>
      <c r="B186" s="3">
        <v>46207</v>
      </c>
      <c r="C186" s="2" t="s">
        <v>22</v>
      </c>
      <c r="D186" s="2" t="s">
        <v>9</v>
      </c>
      <c r="E186" s="2" t="s">
        <v>23</v>
      </c>
      <c r="F186" s="2">
        <v>4</v>
      </c>
      <c r="G186" s="2">
        <v>1500</v>
      </c>
      <c r="H186" s="2">
        <v>6000</v>
      </c>
    </row>
    <row r="187" spans="1:8" x14ac:dyDescent="0.3">
      <c r="A187" s="2">
        <v>186</v>
      </c>
      <c r="B187" s="3">
        <v>46208</v>
      </c>
      <c r="C187" s="2" t="s">
        <v>8</v>
      </c>
      <c r="D187" s="2" t="s">
        <v>19</v>
      </c>
      <c r="E187" s="2" t="s">
        <v>14</v>
      </c>
      <c r="F187" s="2">
        <v>3</v>
      </c>
      <c r="G187" s="2">
        <v>190</v>
      </c>
      <c r="H187" s="2">
        <v>570</v>
      </c>
    </row>
    <row r="188" spans="1:8" x14ac:dyDescent="0.3">
      <c r="A188" s="2">
        <v>187</v>
      </c>
      <c r="B188" s="3">
        <v>46209</v>
      </c>
      <c r="C188" s="2" t="s">
        <v>22</v>
      </c>
      <c r="D188" s="2" t="s">
        <v>12</v>
      </c>
      <c r="E188" s="2" t="s">
        <v>14</v>
      </c>
      <c r="F188" s="2">
        <v>6</v>
      </c>
      <c r="G188" s="2">
        <v>190</v>
      </c>
      <c r="H188" s="2">
        <v>1140</v>
      </c>
    </row>
    <row r="189" spans="1:8" x14ac:dyDescent="0.3">
      <c r="A189" s="2">
        <v>188</v>
      </c>
      <c r="B189" s="3">
        <v>46210</v>
      </c>
      <c r="C189" s="2" t="s">
        <v>8</v>
      </c>
      <c r="D189" s="2" t="s">
        <v>20</v>
      </c>
      <c r="E189" s="2" t="s">
        <v>16</v>
      </c>
      <c r="F189" s="2">
        <v>6</v>
      </c>
      <c r="G189" s="2">
        <v>300</v>
      </c>
      <c r="H189" s="2">
        <v>1800</v>
      </c>
    </row>
    <row r="190" spans="1:8" x14ac:dyDescent="0.3">
      <c r="A190" s="2">
        <v>189</v>
      </c>
      <c r="B190" s="3">
        <v>46211</v>
      </c>
      <c r="C190" s="2" t="s">
        <v>22</v>
      </c>
      <c r="D190" s="2" t="s">
        <v>19</v>
      </c>
      <c r="E190" s="2" t="s">
        <v>23</v>
      </c>
      <c r="F190" s="2">
        <v>7</v>
      </c>
      <c r="G190" s="2">
        <v>1500</v>
      </c>
      <c r="H190" s="2">
        <v>10500</v>
      </c>
    </row>
    <row r="191" spans="1:8" x14ac:dyDescent="0.3">
      <c r="A191" s="2">
        <v>190</v>
      </c>
      <c r="B191" s="3">
        <v>46212</v>
      </c>
      <c r="C191" s="2" t="s">
        <v>15</v>
      </c>
      <c r="D191" s="2" t="s">
        <v>20</v>
      </c>
      <c r="E191" s="2" t="s">
        <v>21</v>
      </c>
      <c r="F191" s="2">
        <v>3</v>
      </c>
      <c r="G191" s="2">
        <v>1200</v>
      </c>
      <c r="H191" s="2">
        <v>3600</v>
      </c>
    </row>
    <row r="192" spans="1:8" x14ac:dyDescent="0.3">
      <c r="A192" s="2">
        <v>191</v>
      </c>
      <c r="B192" s="3">
        <v>46213</v>
      </c>
      <c r="C192" s="2" t="s">
        <v>17</v>
      </c>
      <c r="D192" s="2" t="s">
        <v>20</v>
      </c>
      <c r="E192" s="2" t="s">
        <v>23</v>
      </c>
      <c r="F192" s="2">
        <v>3</v>
      </c>
      <c r="G192" s="2">
        <v>1500</v>
      </c>
      <c r="H192" s="2">
        <v>4500</v>
      </c>
    </row>
    <row r="193" spans="1:8" x14ac:dyDescent="0.3">
      <c r="A193" s="2">
        <v>192</v>
      </c>
      <c r="B193" s="3">
        <v>46214</v>
      </c>
      <c r="C193" s="2" t="s">
        <v>22</v>
      </c>
      <c r="D193" s="2" t="s">
        <v>19</v>
      </c>
      <c r="E193" s="2" t="s">
        <v>21</v>
      </c>
      <c r="F193" s="2">
        <v>2</v>
      </c>
      <c r="G193" s="2">
        <v>1200</v>
      </c>
      <c r="H193" s="2">
        <v>2400</v>
      </c>
    </row>
    <row r="194" spans="1:8" x14ac:dyDescent="0.3">
      <c r="A194" s="2">
        <v>193</v>
      </c>
      <c r="B194" s="3">
        <v>46215</v>
      </c>
      <c r="C194" s="2" t="s">
        <v>22</v>
      </c>
      <c r="D194" s="2" t="s">
        <v>20</v>
      </c>
      <c r="E194" s="2" t="s">
        <v>13</v>
      </c>
      <c r="F194" s="2">
        <v>5</v>
      </c>
      <c r="G194" s="2">
        <v>2100</v>
      </c>
      <c r="H194" s="2">
        <v>10500</v>
      </c>
    </row>
    <row r="195" spans="1:8" x14ac:dyDescent="0.3">
      <c r="A195" s="2">
        <v>194</v>
      </c>
      <c r="B195" s="3">
        <v>46216</v>
      </c>
      <c r="C195" s="2" t="s">
        <v>18</v>
      </c>
      <c r="D195" s="2" t="s">
        <v>20</v>
      </c>
      <c r="E195" s="2" t="s">
        <v>21</v>
      </c>
      <c r="F195" s="2">
        <v>4</v>
      </c>
      <c r="G195" s="2">
        <v>1200</v>
      </c>
      <c r="H195" s="2">
        <v>4800</v>
      </c>
    </row>
    <row r="196" spans="1:8" x14ac:dyDescent="0.3">
      <c r="A196" s="2">
        <v>195</v>
      </c>
      <c r="B196" s="3">
        <v>46217</v>
      </c>
      <c r="C196" s="2" t="s">
        <v>11</v>
      </c>
      <c r="D196" s="2" t="s">
        <v>20</v>
      </c>
      <c r="E196" s="2" t="s">
        <v>16</v>
      </c>
      <c r="F196" s="2">
        <v>2</v>
      </c>
      <c r="G196" s="2">
        <v>300</v>
      </c>
      <c r="H196" s="2">
        <v>600</v>
      </c>
    </row>
    <row r="197" spans="1:8" x14ac:dyDescent="0.3">
      <c r="A197" s="2">
        <v>196</v>
      </c>
      <c r="B197" s="3">
        <v>46218</v>
      </c>
      <c r="C197" s="2" t="s">
        <v>15</v>
      </c>
      <c r="D197" s="2" t="s">
        <v>12</v>
      </c>
      <c r="E197" s="2" t="s">
        <v>10</v>
      </c>
      <c r="F197" s="2">
        <v>3</v>
      </c>
      <c r="G197" s="2">
        <v>210</v>
      </c>
      <c r="H197" s="2">
        <v>630</v>
      </c>
    </row>
    <row r="198" spans="1:8" x14ac:dyDescent="0.3">
      <c r="A198" s="2">
        <v>197</v>
      </c>
      <c r="B198" s="3">
        <v>46219</v>
      </c>
      <c r="C198" s="2" t="s">
        <v>8</v>
      </c>
      <c r="D198" s="2" t="s">
        <v>19</v>
      </c>
      <c r="E198" s="2" t="s">
        <v>23</v>
      </c>
      <c r="F198" s="2">
        <v>6</v>
      </c>
      <c r="G198" s="2">
        <v>1500</v>
      </c>
      <c r="H198" s="2">
        <v>9000</v>
      </c>
    </row>
    <row r="199" spans="1:8" x14ac:dyDescent="0.3">
      <c r="A199" s="2">
        <v>198</v>
      </c>
      <c r="B199" s="3">
        <v>46220</v>
      </c>
      <c r="C199" s="2" t="s">
        <v>18</v>
      </c>
      <c r="D199" s="2" t="s">
        <v>19</v>
      </c>
      <c r="E199" s="2" t="s">
        <v>14</v>
      </c>
      <c r="F199" s="2">
        <v>7</v>
      </c>
      <c r="G199" s="2">
        <v>190</v>
      </c>
      <c r="H199" s="2">
        <v>1330</v>
      </c>
    </row>
    <row r="200" spans="1:8" x14ac:dyDescent="0.3">
      <c r="A200" s="2">
        <v>199</v>
      </c>
      <c r="B200" s="3">
        <v>46221</v>
      </c>
      <c r="C200" s="2" t="s">
        <v>22</v>
      </c>
      <c r="D200" s="2" t="s">
        <v>19</v>
      </c>
      <c r="E200" s="2" t="s">
        <v>10</v>
      </c>
      <c r="F200" s="2">
        <v>2</v>
      </c>
      <c r="G200" s="2">
        <v>210</v>
      </c>
      <c r="H200" s="2">
        <v>420</v>
      </c>
    </row>
    <row r="201" spans="1:8" x14ac:dyDescent="0.3">
      <c r="A201" s="2">
        <v>200</v>
      </c>
      <c r="B201" s="3">
        <v>46222</v>
      </c>
      <c r="C201" s="2" t="s">
        <v>11</v>
      </c>
      <c r="D201" s="2" t="s">
        <v>12</v>
      </c>
      <c r="E201" s="2" t="s">
        <v>23</v>
      </c>
      <c r="F201" s="2">
        <v>7</v>
      </c>
      <c r="G201" s="2">
        <v>1500</v>
      </c>
      <c r="H201" s="2">
        <v>10500</v>
      </c>
    </row>
    <row r="202" spans="1:8" x14ac:dyDescent="0.3">
      <c r="A202" s="2">
        <v>201</v>
      </c>
      <c r="B202" s="3">
        <v>46223</v>
      </c>
      <c r="C202" s="2" t="s">
        <v>18</v>
      </c>
      <c r="D202" s="2" t="s">
        <v>20</v>
      </c>
      <c r="E202" s="2" t="s">
        <v>14</v>
      </c>
      <c r="F202" s="2">
        <v>6</v>
      </c>
      <c r="G202" s="2">
        <v>190</v>
      </c>
      <c r="H202" s="2">
        <v>1140</v>
      </c>
    </row>
    <row r="203" spans="1:8" x14ac:dyDescent="0.3">
      <c r="A203" s="2">
        <v>202</v>
      </c>
      <c r="B203" s="3">
        <v>46224</v>
      </c>
      <c r="C203" s="2" t="s">
        <v>11</v>
      </c>
      <c r="D203" s="2" t="s">
        <v>19</v>
      </c>
      <c r="E203" s="2" t="s">
        <v>16</v>
      </c>
      <c r="F203" s="2">
        <v>6</v>
      </c>
      <c r="G203" s="2">
        <v>300</v>
      </c>
      <c r="H203" s="2">
        <v>1800</v>
      </c>
    </row>
    <row r="204" spans="1:8" x14ac:dyDescent="0.3">
      <c r="A204" s="2">
        <v>203</v>
      </c>
      <c r="B204" s="3">
        <v>46225</v>
      </c>
      <c r="C204" s="2" t="s">
        <v>11</v>
      </c>
      <c r="D204" s="2" t="s">
        <v>19</v>
      </c>
      <c r="E204" s="2" t="s">
        <v>14</v>
      </c>
      <c r="F204" s="2">
        <v>6</v>
      </c>
      <c r="G204" s="2">
        <v>190</v>
      </c>
      <c r="H204" s="2">
        <v>1140</v>
      </c>
    </row>
    <row r="205" spans="1:8" x14ac:dyDescent="0.3">
      <c r="A205" s="2">
        <v>204</v>
      </c>
      <c r="B205" s="3">
        <v>46226</v>
      </c>
      <c r="C205" s="2" t="s">
        <v>11</v>
      </c>
      <c r="D205" s="2" t="s">
        <v>20</v>
      </c>
      <c r="E205" s="2" t="s">
        <v>14</v>
      </c>
      <c r="F205" s="2">
        <v>5</v>
      </c>
      <c r="G205" s="2">
        <v>190</v>
      </c>
      <c r="H205" s="2">
        <v>950</v>
      </c>
    </row>
    <row r="206" spans="1:8" x14ac:dyDescent="0.3">
      <c r="A206" s="2">
        <v>205</v>
      </c>
      <c r="B206" s="3">
        <v>46227</v>
      </c>
      <c r="C206" s="2" t="s">
        <v>11</v>
      </c>
      <c r="D206" s="2" t="s">
        <v>20</v>
      </c>
      <c r="E206" s="2" t="s">
        <v>21</v>
      </c>
      <c r="F206" s="2">
        <v>3</v>
      </c>
      <c r="G206" s="2">
        <v>1200</v>
      </c>
      <c r="H206" s="2">
        <v>3600</v>
      </c>
    </row>
    <row r="207" spans="1:8" x14ac:dyDescent="0.3">
      <c r="A207" s="2">
        <v>206</v>
      </c>
      <c r="B207" s="3">
        <v>46228</v>
      </c>
      <c r="C207" s="2" t="s">
        <v>17</v>
      </c>
      <c r="D207" s="2" t="s">
        <v>12</v>
      </c>
      <c r="E207" s="2" t="s">
        <v>21</v>
      </c>
      <c r="F207" s="2">
        <v>2</v>
      </c>
      <c r="G207" s="2">
        <v>1200</v>
      </c>
      <c r="H207" s="2">
        <v>2400</v>
      </c>
    </row>
    <row r="208" spans="1:8" x14ac:dyDescent="0.3">
      <c r="A208" s="2">
        <v>207</v>
      </c>
      <c r="B208" s="3">
        <v>46229</v>
      </c>
      <c r="C208" s="2" t="s">
        <v>8</v>
      </c>
      <c r="D208" s="2" t="s">
        <v>12</v>
      </c>
      <c r="E208" s="2" t="s">
        <v>13</v>
      </c>
      <c r="F208" s="2">
        <v>3</v>
      </c>
      <c r="G208" s="2">
        <v>2100</v>
      </c>
      <c r="H208" s="2">
        <v>6300</v>
      </c>
    </row>
    <row r="209" spans="1:8" x14ac:dyDescent="0.3">
      <c r="A209" s="2">
        <v>208</v>
      </c>
      <c r="B209" s="3">
        <v>46230</v>
      </c>
      <c r="C209" s="2" t="s">
        <v>8</v>
      </c>
      <c r="D209" s="2" t="s">
        <v>19</v>
      </c>
      <c r="E209" s="2" t="s">
        <v>21</v>
      </c>
      <c r="F209" s="2">
        <v>7</v>
      </c>
      <c r="G209" s="2">
        <v>1200</v>
      </c>
      <c r="H209" s="2">
        <v>8400</v>
      </c>
    </row>
    <row r="210" spans="1:8" x14ac:dyDescent="0.3">
      <c r="A210" s="2">
        <v>209</v>
      </c>
      <c r="B210" s="3">
        <v>46231</v>
      </c>
      <c r="C210" s="2" t="s">
        <v>15</v>
      </c>
      <c r="D210" s="2" t="s">
        <v>20</v>
      </c>
      <c r="E210" s="2" t="s">
        <v>10</v>
      </c>
      <c r="F210" s="2">
        <v>3</v>
      </c>
      <c r="G210" s="2">
        <v>210</v>
      </c>
      <c r="H210" s="2">
        <v>630</v>
      </c>
    </row>
    <row r="211" spans="1:8" x14ac:dyDescent="0.3">
      <c r="A211" s="2">
        <v>210</v>
      </c>
      <c r="B211" s="3">
        <v>46232</v>
      </c>
      <c r="C211" s="2" t="s">
        <v>11</v>
      </c>
      <c r="D211" s="2" t="s">
        <v>12</v>
      </c>
      <c r="E211" s="2" t="s">
        <v>21</v>
      </c>
      <c r="F211" s="2">
        <v>3</v>
      </c>
      <c r="G211" s="2">
        <v>1200</v>
      </c>
      <c r="H211" s="2">
        <v>3600</v>
      </c>
    </row>
    <row r="212" spans="1:8" x14ac:dyDescent="0.3">
      <c r="A212" s="2">
        <v>211</v>
      </c>
      <c r="B212" s="3">
        <v>46233</v>
      </c>
      <c r="C212" s="2" t="s">
        <v>11</v>
      </c>
      <c r="D212" s="2" t="s">
        <v>9</v>
      </c>
      <c r="E212" s="2" t="s">
        <v>14</v>
      </c>
      <c r="F212" s="2">
        <v>6</v>
      </c>
      <c r="G212" s="2">
        <v>190</v>
      </c>
      <c r="H212" s="2">
        <v>1140</v>
      </c>
    </row>
    <row r="213" spans="1:8" x14ac:dyDescent="0.3">
      <c r="A213" s="2">
        <v>212</v>
      </c>
      <c r="B213" s="3">
        <v>46234</v>
      </c>
      <c r="C213" s="2" t="s">
        <v>18</v>
      </c>
      <c r="D213" s="2" t="s">
        <v>20</v>
      </c>
      <c r="E213" s="2" t="s">
        <v>10</v>
      </c>
      <c r="F213" s="2">
        <v>2</v>
      </c>
      <c r="G213" s="2">
        <v>210</v>
      </c>
      <c r="H213" s="2">
        <v>420</v>
      </c>
    </row>
    <row r="214" spans="1:8" x14ac:dyDescent="0.3">
      <c r="A214" s="2">
        <v>213</v>
      </c>
      <c r="B214" s="3">
        <v>46235</v>
      </c>
      <c r="C214" s="2" t="s">
        <v>15</v>
      </c>
      <c r="D214" s="2" t="s">
        <v>20</v>
      </c>
      <c r="E214" s="2" t="s">
        <v>14</v>
      </c>
      <c r="F214" s="2">
        <v>3</v>
      </c>
      <c r="G214" s="2">
        <v>190</v>
      </c>
      <c r="H214" s="2">
        <v>570</v>
      </c>
    </row>
    <row r="215" spans="1:8" x14ac:dyDescent="0.3">
      <c r="A215" s="2">
        <v>214</v>
      </c>
      <c r="B215" s="3">
        <v>46236</v>
      </c>
      <c r="C215" s="2" t="s">
        <v>8</v>
      </c>
      <c r="D215" s="2" t="s">
        <v>19</v>
      </c>
      <c r="E215" s="2" t="s">
        <v>10</v>
      </c>
      <c r="F215" s="2">
        <v>2</v>
      </c>
      <c r="G215" s="2">
        <v>210</v>
      </c>
      <c r="H215" s="2">
        <v>420</v>
      </c>
    </row>
    <row r="216" spans="1:8" x14ac:dyDescent="0.3">
      <c r="A216" s="2">
        <v>215</v>
      </c>
      <c r="B216" s="3">
        <v>46237</v>
      </c>
      <c r="C216" s="2" t="s">
        <v>15</v>
      </c>
      <c r="D216" s="2" t="s">
        <v>20</v>
      </c>
      <c r="E216" s="2" t="s">
        <v>23</v>
      </c>
      <c r="F216" s="2">
        <v>5</v>
      </c>
      <c r="G216" s="2">
        <v>1500</v>
      </c>
      <c r="H216" s="2">
        <v>7500</v>
      </c>
    </row>
    <row r="217" spans="1:8" x14ac:dyDescent="0.3">
      <c r="A217" s="2">
        <v>216</v>
      </c>
      <c r="B217" s="3">
        <v>46238</v>
      </c>
      <c r="C217" s="2" t="s">
        <v>22</v>
      </c>
      <c r="D217" s="2" t="s">
        <v>20</v>
      </c>
      <c r="E217" s="2" t="s">
        <v>13</v>
      </c>
      <c r="F217" s="2">
        <v>2</v>
      </c>
      <c r="G217" s="2">
        <v>2100</v>
      </c>
      <c r="H217" s="2">
        <v>4200</v>
      </c>
    </row>
    <row r="218" spans="1:8" x14ac:dyDescent="0.3">
      <c r="A218" s="2">
        <v>217</v>
      </c>
      <c r="B218" s="3">
        <v>46239</v>
      </c>
      <c r="C218" s="2" t="s">
        <v>11</v>
      </c>
      <c r="D218" s="2" t="s">
        <v>19</v>
      </c>
      <c r="E218" s="2" t="s">
        <v>10</v>
      </c>
      <c r="F218" s="2">
        <v>2</v>
      </c>
      <c r="G218" s="2">
        <v>210</v>
      </c>
      <c r="H218" s="2">
        <v>420</v>
      </c>
    </row>
    <row r="219" spans="1:8" x14ac:dyDescent="0.3">
      <c r="A219" s="2">
        <v>218</v>
      </c>
      <c r="B219" s="3">
        <v>46240</v>
      </c>
      <c r="C219" s="2" t="s">
        <v>22</v>
      </c>
      <c r="D219" s="2" t="s">
        <v>19</v>
      </c>
      <c r="E219" s="2" t="s">
        <v>10</v>
      </c>
      <c r="F219" s="2">
        <v>6</v>
      </c>
      <c r="G219" s="2">
        <v>210</v>
      </c>
      <c r="H219" s="2">
        <v>1260</v>
      </c>
    </row>
    <row r="220" spans="1:8" x14ac:dyDescent="0.3">
      <c r="A220" s="2">
        <v>219</v>
      </c>
      <c r="B220" s="3">
        <v>46241</v>
      </c>
      <c r="C220" s="2" t="s">
        <v>8</v>
      </c>
      <c r="D220" s="2" t="s">
        <v>9</v>
      </c>
      <c r="E220" s="2" t="s">
        <v>13</v>
      </c>
      <c r="F220" s="2">
        <v>3</v>
      </c>
      <c r="G220" s="2">
        <v>2100</v>
      </c>
      <c r="H220" s="2">
        <v>6300</v>
      </c>
    </row>
    <row r="221" spans="1:8" x14ac:dyDescent="0.3">
      <c r="A221" s="2">
        <v>220</v>
      </c>
      <c r="B221" s="3">
        <v>46242</v>
      </c>
      <c r="C221" s="2" t="s">
        <v>15</v>
      </c>
      <c r="D221" s="2" t="s">
        <v>20</v>
      </c>
      <c r="E221" s="2" t="s">
        <v>10</v>
      </c>
      <c r="F221" s="2">
        <v>3</v>
      </c>
      <c r="G221" s="2">
        <v>210</v>
      </c>
      <c r="H221" s="2">
        <v>630</v>
      </c>
    </row>
    <row r="222" spans="1:8" x14ac:dyDescent="0.3">
      <c r="A222" s="2">
        <v>221</v>
      </c>
      <c r="B222" s="3">
        <v>46243</v>
      </c>
      <c r="C222" s="2" t="s">
        <v>17</v>
      </c>
      <c r="D222" s="2" t="s">
        <v>19</v>
      </c>
      <c r="E222" s="2" t="s">
        <v>16</v>
      </c>
      <c r="F222" s="2">
        <v>6</v>
      </c>
      <c r="G222" s="2">
        <v>300</v>
      </c>
      <c r="H222" s="2">
        <v>1800</v>
      </c>
    </row>
    <row r="223" spans="1:8" x14ac:dyDescent="0.3">
      <c r="A223" s="2">
        <v>222</v>
      </c>
      <c r="B223" s="3">
        <v>46244</v>
      </c>
      <c r="C223" s="2" t="s">
        <v>15</v>
      </c>
      <c r="D223" s="2" t="s">
        <v>12</v>
      </c>
      <c r="E223" s="2" t="s">
        <v>16</v>
      </c>
      <c r="F223" s="2">
        <v>5</v>
      </c>
      <c r="G223" s="2">
        <v>300</v>
      </c>
      <c r="H223" s="2">
        <v>1500</v>
      </c>
    </row>
    <row r="224" spans="1:8" x14ac:dyDescent="0.3">
      <c r="A224" s="2">
        <v>223</v>
      </c>
      <c r="B224" s="3">
        <v>46245</v>
      </c>
      <c r="C224" s="2" t="s">
        <v>22</v>
      </c>
      <c r="D224" s="2" t="s">
        <v>19</v>
      </c>
      <c r="E224" s="2" t="s">
        <v>21</v>
      </c>
      <c r="F224" s="2">
        <v>6</v>
      </c>
      <c r="G224" s="2">
        <v>1200</v>
      </c>
      <c r="H224" s="2">
        <v>7200</v>
      </c>
    </row>
    <row r="225" spans="1:8" x14ac:dyDescent="0.3">
      <c r="A225" s="2">
        <v>224</v>
      </c>
      <c r="B225" s="3">
        <v>46246</v>
      </c>
      <c r="C225" s="2" t="s">
        <v>22</v>
      </c>
      <c r="D225" s="2" t="s">
        <v>20</v>
      </c>
      <c r="E225" s="2" t="s">
        <v>16</v>
      </c>
      <c r="F225" s="2">
        <v>6</v>
      </c>
      <c r="G225" s="2">
        <v>300</v>
      </c>
      <c r="H225" s="2">
        <v>1800</v>
      </c>
    </row>
    <row r="226" spans="1:8" x14ac:dyDescent="0.3">
      <c r="A226" s="2">
        <v>225</v>
      </c>
      <c r="B226" s="3">
        <v>46247</v>
      </c>
      <c r="C226" s="2" t="s">
        <v>17</v>
      </c>
      <c r="D226" s="2" t="s">
        <v>9</v>
      </c>
      <c r="E226" s="2" t="s">
        <v>13</v>
      </c>
      <c r="F226" s="2">
        <v>7</v>
      </c>
      <c r="G226" s="2">
        <v>2100</v>
      </c>
      <c r="H226" s="2">
        <v>14700</v>
      </c>
    </row>
    <row r="227" spans="1:8" x14ac:dyDescent="0.3">
      <c r="A227" s="2">
        <v>226</v>
      </c>
      <c r="B227" s="3">
        <v>46248</v>
      </c>
      <c r="C227" s="2" t="s">
        <v>18</v>
      </c>
      <c r="D227" s="2" t="s">
        <v>20</v>
      </c>
      <c r="E227" s="2" t="s">
        <v>14</v>
      </c>
      <c r="F227" s="2">
        <v>2</v>
      </c>
      <c r="G227" s="2">
        <v>190</v>
      </c>
      <c r="H227" s="2">
        <v>380</v>
      </c>
    </row>
    <row r="228" spans="1:8" x14ac:dyDescent="0.3">
      <c r="A228" s="2">
        <v>227</v>
      </c>
      <c r="B228" s="3">
        <v>46249</v>
      </c>
      <c r="C228" s="2" t="s">
        <v>18</v>
      </c>
      <c r="D228" s="2" t="s">
        <v>12</v>
      </c>
      <c r="E228" s="2" t="s">
        <v>13</v>
      </c>
      <c r="F228" s="2">
        <v>6</v>
      </c>
      <c r="G228" s="2">
        <v>2100</v>
      </c>
      <c r="H228" s="2">
        <v>12600</v>
      </c>
    </row>
    <row r="229" spans="1:8" x14ac:dyDescent="0.3">
      <c r="A229" s="2">
        <v>228</v>
      </c>
      <c r="B229" s="3">
        <v>46250</v>
      </c>
      <c r="C229" s="2" t="s">
        <v>17</v>
      </c>
      <c r="D229" s="2" t="s">
        <v>12</v>
      </c>
      <c r="E229" s="2" t="s">
        <v>10</v>
      </c>
      <c r="F229" s="2">
        <v>5</v>
      </c>
      <c r="G229" s="2">
        <v>210</v>
      </c>
      <c r="H229" s="2">
        <v>1050</v>
      </c>
    </row>
    <row r="230" spans="1:8" x14ac:dyDescent="0.3">
      <c r="A230" s="2">
        <v>229</v>
      </c>
      <c r="B230" s="3">
        <v>46251</v>
      </c>
      <c r="C230" s="2" t="s">
        <v>22</v>
      </c>
      <c r="D230" s="2" t="s">
        <v>19</v>
      </c>
      <c r="E230" s="2" t="s">
        <v>21</v>
      </c>
      <c r="F230" s="2">
        <v>2</v>
      </c>
      <c r="G230" s="2">
        <v>1200</v>
      </c>
      <c r="H230" s="2">
        <v>2400</v>
      </c>
    </row>
    <row r="231" spans="1:8" x14ac:dyDescent="0.3">
      <c r="A231" s="2">
        <v>230</v>
      </c>
      <c r="B231" s="3">
        <v>46252</v>
      </c>
      <c r="C231" s="2" t="s">
        <v>18</v>
      </c>
      <c r="D231" s="2" t="s">
        <v>20</v>
      </c>
      <c r="E231" s="2" t="s">
        <v>14</v>
      </c>
      <c r="F231" s="2">
        <v>4</v>
      </c>
      <c r="G231" s="2">
        <v>190</v>
      </c>
      <c r="H231" s="2">
        <v>760</v>
      </c>
    </row>
    <row r="232" spans="1:8" x14ac:dyDescent="0.3">
      <c r="A232" s="2">
        <v>231</v>
      </c>
      <c r="B232" s="3">
        <v>46253</v>
      </c>
      <c r="C232" s="2" t="s">
        <v>8</v>
      </c>
      <c r="D232" s="2" t="s">
        <v>19</v>
      </c>
      <c r="E232" s="2" t="s">
        <v>10</v>
      </c>
      <c r="F232" s="2">
        <v>7</v>
      </c>
      <c r="G232" s="2">
        <v>210</v>
      </c>
      <c r="H232" s="2">
        <v>1470</v>
      </c>
    </row>
    <row r="233" spans="1:8" x14ac:dyDescent="0.3">
      <c r="A233" s="2">
        <v>232</v>
      </c>
      <c r="B233" s="3">
        <v>46254</v>
      </c>
      <c r="C233" s="2" t="s">
        <v>18</v>
      </c>
      <c r="D233" s="2" t="s">
        <v>20</v>
      </c>
      <c r="E233" s="2" t="s">
        <v>14</v>
      </c>
      <c r="F233" s="2">
        <v>6</v>
      </c>
      <c r="G233" s="2">
        <v>190</v>
      </c>
      <c r="H233" s="2">
        <v>1140</v>
      </c>
    </row>
    <row r="234" spans="1:8" x14ac:dyDescent="0.3">
      <c r="A234" s="2">
        <v>233</v>
      </c>
      <c r="B234" s="3">
        <v>46255</v>
      </c>
      <c r="C234" s="2" t="s">
        <v>8</v>
      </c>
      <c r="D234" s="2" t="s">
        <v>12</v>
      </c>
      <c r="E234" s="2" t="s">
        <v>23</v>
      </c>
      <c r="F234" s="2">
        <v>2</v>
      </c>
      <c r="G234" s="2">
        <v>1500</v>
      </c>
      <c r="H234" s="2">
        <v>3000</v>
      </c>
    </row>
    <row r="235" spans="1:8" x14ac:dyDescent="0.3">
      <c r="A235" s="2">
        <v>234</v>
      </c>
      <c r="B235" s="3">
        <v>46256</v>
      </c>
      <c r="C235" s="2" t="s">
        <v>15</v>
      </c>
      <c r="D235" s="2" t="s">
        <v>12</v>
      </c>
      <c r="E235" s="2" t="s">
        <v>14</v>
      </c>
      <c r="F235" s="2">
        <v>3</v>
      </c>
      <c r="G235" s="2">
        <v>190</v>
      </c>
      <c r="H235" s="2">
        <v>570</v>
      </c>
    </row>
    <row r="236" spans="1:8" x14ac:dyDescent="0.3">
      <c r="A236" s="2">
        <v>235</v>
      </c>
      <c r="B236" s="3">
        <v>46257</v>
      </c>
      <c r="C236" s="2" t="s">
        <v>11</v>
      </c>
      <c r="D236" s="2" t="s">
        <v>12</v>
      </c>
      <c r="E236" s="2" t="s">
        <v>10</v>
      </c>
      <c r="F236" s="2">
        <v>2</v>
      </c>
      <c r="G236" s="2">
        <v>210</v>
      </c>
      <c r="H236" s="2">
        <v>420</v>
      </c>
    </row>
    <row r="237" spans="1:8" x14ac:dyDescent="0.3">
      <c r="A237" s="2">
        <v>236</v>
      </c>
      <c r="B237" s="3">
        <v>46258</v>
      </c>
      <c r="C237" s="2" t="s">
        <v>18</v>
      </c>
      <c r="D237" s="2" t="s">
        <v>20</v>
      </c>
      <c r="E237" s="2" t="s">
        <v>16</v>
      </c>
      <c r="F237" s="2">
        <v>7</v>
      </c>
      <c r="G237" s="2">
        <v>300</v>
      </c>
      <c r="H237" s="2">
        <v>2100</v>
      </c>
    </row>
    <row r="238" spans="1:8" x14ac:dyDescent="0.3">
      <c r="A238" s="2">
        <v>237</v>
      </c>
      <c r="B238" s="3">
        <v>46259</v>
      </c>
      <c r="C238" s="2" t="s">
        <v>15</v>
      </c>
      <c r="D238" s="2" t="s">
        <v>20</v>
      </c>
      <c r="E238" s="2" t="s">
        <v>23</v>
      </c>
      <c r="F238" s="2">
        <v>2</v>
      </c>
      <c r="G238" s="2">
        <v>1500</v>
      </c>
      <c r="H238" s="2">
        <v>3000</v>
      </c>
    </row>
    <row r="239" spans="1:8" x14ac:dyDescent="0.3">
      <c r="A239" s="2">
        <v>238</v>
      </c>
      <c r="B239" s="3">
        <v>46260</v>
      </c>
      <c r="C239" s="2" t="s">
        <v>22</v>
      </c>
      <c r="D239" s="2" t="s">
        <v>20</v>
      </c>
      <c r="E239" s="2" t="s">
        <v>14</v>
      </c>
      <c r="F239" s="2">
        <v>5</v>
      </c>
      <c r="G239" s="2">
        <v>190</v>
      </c>
      <c r="H239" s="2">
        <v>950</v>
      </c>
    </row>
    <row r="240" spans="1:8" x14ac:dyDescent="0.3">
      <c r="A240" s="2">
        <v>239</v>
      </c>
      <c r="B240" s="3">
        <v>46261</v>
      </c>
      <c r="C240" s="2" t="s">
        <v>11</v>
      </c>
      <c r="D240" s="2" t="s">
        <v>19</v>
      </c>
      <c r="E240" s="2" t="s">
        <v>23</v>
      </c>
      <c r="F240" s="2">
        <v>2</v>
      </c>
      <c r="G240" s="2">
        <v>1500</v>
      </c>
      <c r="H240" s="2">
        <v>3000</v>
      </c>
    </row>
    <row r="241" spans="1:8" x14ac:dyDescent="0.3">
      <c r="A241" s="2">
        <v>240</v>
      </c>
      <c r="B241" s="3">
        <v>46262</v>
      </c>
      <c r="C241" s="2" t="s">
        <v>15</v>
      </c>
      <c r="D241" s="2" t="s">
        <v>9</v>
      </c>
      <c r="E241" s="2" t="s">
        <v>23</v>
      </c>
      <c r="F241" s="2">
        <v>7</v>
      </c>
      <c r="G241" s="2">
        <v>1500</v>
      </c>
      <c r="H241" s="2">
        <v>10500</v>
      </c>
    </row>
    <row r="242" spans="1:8" x14ac:dyDescent="0.3">
      <c r="A242" s="2">
        <v>241</v>
      </c>
      <c r="B242" s="3">
        <v>46263</v>
      </c>
      <c r="C242" s="2" t="s">
        <v>11</v>
      </c>
      <c r="D242" s="2" t="s">
        <v>20</v>
      </c>
      <c r="E242" s="2" t="s">
        <v>10</v>
      </c>
      <c r="F242" s="2">
        <v>2</v>
      </c>
      <c r="G242" s="2">
        <v>210</v>
      </c>
      <c r="H242" s="2">
        <v>420</v>
      </c>
    </row>
    <row r="243" spans="1:8" x14ac:dyDescent="0.3">
      <c r="A243" s="2">
        <v>242</v>
      </c>
      <c r="B243" s="3">
        <v>46264</v>
      </c>
      <c r="C243" s="2" t="s">
        <v>18</v>
      </c>
      <c r="D243" s="2" t="s">
        <v>9</v>
      </c>
      <c r="E243" s="2" t="s">
        <v>14</v>
      </c>
      <c r="F243" s="2">
        <v>4</v>
      </c>
      <c r="G243" s="2">
        <v>190</v>
      </c>
      <c r="H243" s="2">
        <v>760</v>
      </c>
    </row>
    <row r="244" spans="1:8" x14ac:dyDescent="0.3">
      <c r="A244" s="2">
        <v>243</v>
      </c>
      <c r="B244" s="3">
        <v>46265</v>
      </c>
      <c r="C244" s="2" t="s">
        <v>15</v>
      </c>
      <c r="D244" s="2" t="s">
        <v>9</v>
      </c>
      <c r="E244" s="2" t="s">
        <v>13</v>
      </c>
      <c r="F244" s="2">
        <v>5</v>
      </c>
      <c r="G244" s="2">
        <v>2100</v>
      </c>
      <c r="H244" s="2">
        <v>10500</v>
      </c>
    </row>
    <row r="245" spans="1:8" x14ac:dyDescent="0.3">
      <c r="A245" s="2">
        <v>244</v>
      </c>
      <c r="B245" s="3">
        <v>46266</v>
      </c>
      <c r="C245" s="2" t="s">
        <v>15</v>
      </c>
      <c r="D245" s="2" t="s">
        <v>19</v>
      </c>
      <c r="E245" s="2" t="s">
        <v>21</v>
      </c>
      <c r="F245" s="2">
        <v>3</v>
      </c>
      <c r="G245" s="2">
        <v>1200</v>
      </c>
      <c r="H245" s="2">
        <v>3600</v>
      </c>
    </row>
    <row r="246" spans="1:8" x14ac:dyDescent="0.3">
      <c r="A246" s="2">
        <v>245</v>
      </c>
      <c r="B246" s="3">
        <v>46267</v>
      </c>
      <c r="C246" s="2" t="s">
        <v>15</v>
      </c>
      <c r="D246" s="2" t="s">
        <v>19</v>
      </c>
      <c r="E246" s="2" t="s">
        <v>14</v>
      </c>
      <c r="F246" s="2">
        <v>5</v>
      </c>
      <c r="G246" s="2">
        <v>190</v>
      </c>
      <c r="H246" s="2">
        <v>950</v>
      </c>
    </row>
    <row r="247" spans="1:8" x14ac:dyDescent="0.3">
      <c r="A247" s="2">
        <v>246</v>
      </c>
      <c r="B247" s="3">
        <v>46268</v>
      </c>
      <c r="C247" s="2" t="s">
        <v>17</v>
      </c>
      <c r="D247" s="2" t="s">
        <v>19</v>
      </c>
      <c r="E247" s="2" t="s">
        <v>21</v>
      </c>
      <c r="F247" s="2">
        <v>5</v>
      </c>
      <c r="G247" s="2">
        <v>1200</v>
      </c>
      <c r="H247" s="2">
        <v>6000</v>
      </c>
    </row>
    <row r="248" spans="1:8" x14ac:dyDescent="0.3">
      <c r="A248" s="2">
        <v>247</v>
      </c>
      <c r="B248" s="3">
        <v>46269</v>
      </c>
      <c r="C248" s="2" t="s">
        <v>11</v>
      </c>
      <c r="D248" s="2" t="s">
        <v>20</v>
      </c>
      <c r="E248" s="2" t="s">
        <v>14</v>
      </c>
      <c r="F248" s="2">
        <v>2</v>
      </c>
      <c r="G248" s="2">
        <v>190</v>
      </c>
      <c r="H248" s="2">
        <v>380</v>
      </c>
    </row>
    <row r="249" spans="1:8" x14ac:dyDescent="0.3">
      <c r="A249" s="2">
        <v>248</v>
      </c>
      <c r="B249" s="3">
        <v>46270</v>
      </c>
      <c r="C249" s="2" t="s">
        <v>18</v>
      </c>
      <c r="D249" s="2" t="s">
        <v>20</v>
      </c>
      <c r="E249" s="2" t="s">
        <v>23</v>
      </c>
      <c r="F249" s="2">
        <v>7</v>
      </c>
      <c r="G249" s="2">
        <v>1500</v>
      </c>
      <c r="H249" s="2">
        <v>10500</v>
      </c>
    </row>
    <row r="250" spans="1:8" x14ac:dyDescent="0.3">
      <c r="A250" s="2">
        <v>249</v>
      </c>
      <c r="B250" s="3">
        <v>46271</v>
      </c>
      <c r="C250" s="2" t="s">
        <v>22</v>
      </c>
      <c r="D250" s="2" t="s">
        <v>20</v>
      </c>
      <c r="E250" s="2" t="s">
        <v>14</v>
      </c>
      <c r="F250" s="2">
        <v>5</v>
      </c>
      <c r="G250" s="2">
        <v>190</v>
      </c>
      <c r="H250" s="2">
        <v>950</v>
      </c>
    </row>
    <row r="251" spans="1:8" x14ac:dyDescent="0.3">
      <c r="A251" s="2">
        <v>250</v>
      </c>
      <c r="B251" s="3">
        <v>46272</v>
      </c>
      <c r="C251" s="2" t="s">
        <v>15</v>
      </c>
      <c r="D251" s="2" t="s">
        <v>9</v>
      </c>
      <c r="E251" s="2" t="s">
        <v>23</v>
      </c>
      <c r="F251" s="2">
        <v>2</v>
      </c>
      <c r="G251" s="2">
        <v>1500</v>
      </c>
      <c r="H251" s="2">
        <v>3000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F3ED4-04A3-44F6-9E7B-4B764ACD1242}">
  <dimension ref="A3:F49"/>
  <sheetViews>
    <sheetView workbookViewId="0">
      <selection activeCell="G28" sqref="G28"/>
    </sheetView>
  </sheetViews>
  <sheetFormatPr defaultRowHeight="14.4" x14ac:dyDescent="0.3"/>
  <cols>
    <col min="1" max="1" width="12.5546875" bestFit="1" customWidth="1"/>
    <col min="2" max="2" width="14.44140625" bestFit="1" customWidth="1"/>
    <col min="3" max="3" width="10.44140625" bestFit="1" customWidth="1"/>
    <col min="4" max="4" width="12.5546875" bestFit="1" customWidth="1"/>
    <col min="5" max="5" width="10.44140625" bestFit="1" customWidth="1"/>
    <col min="6" max="6" width="10.44140625" customWidth="1"/>
  </cols>
  <sheetData>
    <row r="3" spans="1:6" x14ac:dyDescent="0.3">
      <c r="A3" s="4" t="s">
        <v>24</v>
      </c>
      <c r="B3" t="s">
        <v>26</v>
      </c>
      <c r="D3" s="4" t="s">
        <v>24</v>
      </c>
      <c r="E3" t="s">
        <v>26</v>
      </c>
    </row>
    <row r="4" spans="1:6" x14ac:dyDescent="0.3">
      <c r="A4" s="5" t="s">
        <v>9</v>
      </c>
      <c r="B4" s="6">
        <v>187630</v>
      </c>
      <c r="D4" s="5" t="s">
        <v>14</v>
      </c>
      <c r="E4" s="7">
        <v>5.1075268817204304E-2</v>
      </c>
      <c r="F4" s="7"/>
    </row>
    <row r="5" spans="1:6" x14ac:dyDescent="0.3">
      <c r="A5" s="5" t="s">
        <v>20</v>
      </c>
      <c r="B5" s="6">
        <v>257790</v>
      </c>
      <c r="D5" s="5" t="s">
        <v>21</v>
      </c>
      <c r="E5" s="7">
        <v>0.17149857084524295</v>
      </c>
      <c r="F5" s="7"/>
    </row>
    <row r="6" spans="1:6" x14ac:dyDescent="0.3">
      <c r="A6" s="5" t="s">
        <v>19</v>
      </c>
      <c r="B6" s="6">
        <v>239590</v>
      </c>
      <c r="D6" s="5" t="s">
        <v>10</v>
      </c>
      <c r="E6" s="7">
        <v>4.7876684360963657E-2</v>
      </c>
      <c r="F6" s="7"/>
    </row>
    <row r="7" spans="1:6" x14ac:dyDescent="0.3">
      <c r="A7" s="5" t="s">
        <v>12</v>
      </c>
      <c r="B7" s="6">
        <v>196630</v>
      </c>
      <c r="D7" s="5" t="s">
        <v>13</v>
      </c>
      <c r="E7" s="7">
        <v>0.35728868926092283</v>
      </c>
      <c r="F7" s="7"/>
    </row>
    <row r="8" spans="1:6" x14ac:dyDescent="0.3">
      <c r="A8" s="5" t="s">
        <v>25</v>
      </c>
      <c r="B8" s="6">
        <v>881640</v>
      </c>
      <c r="D8" s="5" t="s">
        <v>23</v>
      </c>
      <c r="E8" s="7">
        <v>0.30965019735946647</v>
      </c>
      <c r="F8" s="7"/>
    </row>
    <row r="9" spans="1:6" x14ac:dyDescent="0.3">
      <c r="D9" s="5" t="s">
        <v>16</v>
      </c>
      <c r="E9" s="7">
        <v>6.2610589356199814E-2</v>
      </c>
      <c r="F9" s="7"/>
    </row>
    <row r="10" spans="1:6" x14ac:dyDescent="0.3">
      <c r="D10" s="5" t="s">
        <v>25</v>
      </c>
      <c r="E10" s="7">
        <v>1</v>
      </c>
      <c r="F10" s="7"/>
    </row>
    <row r="12" spans="1:6" x14ac:dyDescent="0.3">
      <c r="A12" s="4" t="s">
        <v>24</v>
      </c>
      <c r="B12" t="s">
        <v>27</v>
      </c>
      <c r="D12" t="s">
        <v>26</v>
      </c>
    </row>
    <row r="13" spans="1:6" x14ac:dyDescent="0.3">
      <c r="A13" s="5" t="s">
        <v>14</v>
      </c>
      <c r="B13" s="6">
        <v>237</v>
      </c>
      <c r="D13" s="6">
        <v>881640</v>
      </c>
      <c r="E13" s="8">
        <f>GETPIVOTDATA("Amount",$D$12)</f>
        <v>881640</v>
      </c>
    </row>
    <row r="14" spans="1:6" x14ac:dyDescent="0.3">
      <c r="A14" s="5" t="s">
        <v>21</v>
      </c>
      <c r="B14" s="6">
        <v>126</v>
      </c>
    </row>
    <row r="15" spans="1:6" x14ac:dyDescent="0.3">
      <c r="A15" s="5" t="s">
        <v>10</v>
      </c>
      <c r="B15" s="6">
        <v>201</v>
      </c>
      <c r="D15" t="s">
        <v>28</v>
      </c>
      <c r="E15" t="s">
        <v>39</v>
      </c>
    </row>
    <row r="16" spans="1:6" x14ac:dyDescent="0.3">
      <c r="A16" s="5" t="s">
        <v>13</v>
      </c>
      <c r="B16" s="6">
        <v>150</v>
      </c>
      <c r="D16" s="6">
        <v>250</v>
      </c>
      <c r="E16">
        <f>GETPIVOTDATA("S No.",$D$15)</f>
        <v>250</v>
      </c>
    </row>
    <row r="17" spans="1:6" x14ac:dyDescent="0.3">
      <c r="A17" s="5" t="s">
        <v>23</v>
      </c>
      <c r="B17" s="6">
        <v>182</v>
      </c>
    </row>
    <row r="18" spans="1:6" x14ac:dyDescent="0.3">
      <c r="A18" s="5" t="s">
        <v>16</v>
      </c>
      <c r="B18" s="6">
        <v>184</v>
      </c>
      <c r="D18" t="s">
        <v>29</v>
      </c>
    </row>
    <row r="19" spans="1:6" x14ac:dyDescent="0.3">
      <c r="A19" s="5" t="s">
        <v>25</v>
      </c>
      <c r="B19" s="6">
        <v>1080</v>
      </c>
      <c r="D19" s="6">
        <v>3526.56</v>
      </c>
      <c r="E19" t="s">
        <v>39</v>
      </c>
    </row>
    <row r="21" spans="1:6" x14ac:dyDescent="0.3">
      <c r="A21" s="4" t="s">
        <v>24</v>
      </c>
      <c r="B21" t="s">
        <v>26</v>
      </c>
      <c r="D21" s="4" t="s">
        <v>24</v>
      </c>
      <c r="E21" t="s">
        <v>27</v>
      </c>
    </row>
    <row r="22" spans="1:6" x14ac:dyDescent="0.3">
      <c r="A22" s="5" t="s">
        <v>30</v>
      </c>
      <c r="B22" s="6">
        <v>98120</v>
      </c>
      <c r="D22" s="5" t="s">
        <v>14</v>
      </c>
      <c r="E22" s="6">
        <v>237</v>
      </c>
      <c r="F22" s="6"/>
    </row>
    <row r="23" spans="1:6" x14ac:dyDescent="0.3">
      <c r="A23" s="5" t="s">
        <v>31</v>
      </c>
      <c r="B23" s="6">
        <v>81240</v>
      </c>
      <c r="D23" s="5" t="s">
        <v>10</v>
      </c>
      <c r="E23" s="6">
        <v>201</v>
      </c>
      <c r="F23" s="6"/>
    </row>
    <row r="24" spans="1:6" x14ac:dyDescent="0.3">
      <c r="A24" s="5" t="s">
        <v>32</v>
      </c>
      <c r="B24" s="6">
        <v>107110</v>
      </c>
      <c r="D24" s="5" t="s">
        <v>16</v>
      </c>
      <c r="E24" s="6">
        <v>184</v>
      </c>
      <c r="F24" s="6"/>
    </row>
    <row r="25" spans="1:6" x14ac:dyDescent="0.3">
      <c r="A25" s="5" t="s">
        <v>33</v>
      </c>
      <c r="B25" s="6">
        <v>118750</v>
      </c>
      <c r="D25" s="5" t="s">
        <v>25</v>
      </c>
      <c r="E25" s="6">
        <v>622</v>
      </c>
      <c r="F25" s="6"/>
    </row>
    <row r="26" spans="1:6" x14ac:dyDescent="0.3">
      <c r="A26" s="5" t="s">
        <v>34</v>
      </c>
      <c r="B26" s="6">
        <v>112810</v>
      </c>
    </row>
    <row r="27" spans="1:6" x14ac:dyDescent="0.3">
      <c r="A27" s="5" t="s">
        <v>35</v>
      </c>
      <c r="B27" s="6">
        <v>132690</v>
      </c>
    </row>
    <row r="28" spans="1:6" x14ac:dyDescent="0.3">
      <c r="A28" s="5" t="s">
        <v>36</v>
      </c>
      <c r="B28" s="6">
        <v>102220</v>
      </c>
    </row>
    <row r="29" spans="1:6" x14ac:dyDescent="0.3">
      <c r="A29" s="5" t="s">
        <v>37</v>
      </c>
      <c r="B29" s="6">
        <v>103320</v>
      </c>
    </row>
    <row r="30" spans="1:6" x14ac:dyDescent="0.3">
      <c r="A30" s="5" t="s">
        <v>38</v>
      </c>
      <c r="B30" s="6">
        <v>25380</v>
      </c>
    </row>
    <row r="31" spans="1:6" x14ac:dyDescent="0.3">
      <c r="A31" s="5" t="s">
        <v>25</v>
      </c>
      <c r="B31" s="6">
        <v>881640</v>
      </c>
      <c r="D31" s="4" t="s">
        <v>24</v>
      </c>
      <c r="E31" t="s">
        <v>27</v>
      </c>
    </row>
    <row r="32" spans="1:6" x14ac:dyDescent="0.3">
      <c r="D32" s="5" t="s">
        <v>21</v>
      </c>
      <c r="E32" s="6">
        <v>126</v>
      </c>
      <c r="F32" s="6"/>
    </row>
    <row r="33" spans="1:6" x14ac:dyDescent="0.3">
      <c r="D33" s="5" t="s">
        <v>13</v>
      </c>
      <c r="E33" s="6">
        <v>150</v>
      </c>
      <c r="F33" s="6"/>
    </row>
    <row r="34" spans="1:6" x14ac:dyDescent="0.3">
      <c r="D34" s="5" t="s">
        <v>23</v>
      </c>
      <c r="E34" s="6">
        <v>182</v>
      </c>
      <c r="F34" s="6"/>
    </row>
    <row r="35" spans="1:6" x14ac:dyDescent="0.3">
      <c r="D35" s="5" t="s">
        <v>25</v>
      </c>
      <c r="E35" s="6">
        <v>458</v>
      </c>
      <c r="F35" s="6"/>
    </row>
    <row r="36" spans="1:6" x14ac:dyDescent="0.3">
      <c r="A36" s="4" t="s">
        <v>24</v>
      </c>
      <c r="B36" t="s">
        <v>26</v>
      </c>
    </row>
    <row r="37" spans="1:6" x14ac:dyDescent="0.3">
      <c r="A37" s="5" t="s">
        <v>22</v>
      </c>
      <c r="B37" s="6">
        <v>176120</v>
      </c>
    </row>
    <row r="38" spans="1:6" x14ac:dyDescent="0.3">
      <c r="A38" s="5" t="s">
        <v>18</v>
      </c>
      <c r="B38" s="6">
        <v>165950</v>
      </c>
    </row>
    <row r="39" spans="1:6" x14ac:dyDescent="0.3">
      <c r="A39" s="5" t="s">
        <v>8</v>
      </c>
      <c r="B39" s="6">
        <v>166600</v>
      </c>
    </row>
    <row r="40" spans="1:6" x14ac:dyDescent="0.3">
      <c r="A40" s="5" t="s">
        <v>25</v>
      </c>
      <c r="B40" s="6">
        <v>508670</v>
      </c>
      <c r="F40" s="6"/>
    </row>
    <row r="41" spans="1:6" x14ac:dyDescent="0.3">
      <c r="D41" s="4" t="s">
        <v>24</v>
      </c>
      <c r="E41" t="s">
        <v>26</v>
      </c>
      <c r="F41" s="6"/>
    </row>
    <row r="42" spans="1:6" x14ac:dyDescent="0.3">
      <c r="D42" s="5" t="s">
        <v>17</v>
      </c>
      <c r="E42" s="6">
        <v>128560</v>
      </c>
      <c r="F42" s="6"/>
    </row>
    <row r="43" spans="1:6" x14ac:dyDescent="0.3">
      <c r="D43" s="5" t="s">
        <v>22</v>
      </c>
      <c r="E43" s="6">
        <v>176120</v>
      </c>
      <c r="F43" s="6"/>
    </row>
    <row r="44" spans="1:6" x14ac:dyDescent="0.3">
      <c r="D44" s="5" t="s">
        <v>15</v>
      </c>
      <c r="E44" s="6">
        <v>138420</v>
      </c>
      <c r="F44" s="6"/>
    </row>
    <row r="45" spans="1:6" x14ac:dyDescent="0.3">
      <c r="A45" s="4" t="s">
        <v>24</v>
      </c>
      <c r="B45" t="s">
        <v>26</v>
      </c>
      <c r="D45" s="5" t="s">
        <v>11</v>
      </c>
      <c r="E45" s="6">
        <v>105990</v>
      </c>
      <c r="F45" s="6"/>
    </row>
    <row r="46" spans="1:6" x14ac:dyDescent="0.3">
      <c r="A46" s="5" t="s">
        <v>17</v>
      </c>
      <c r="B46" s="6">
        <v>128560</v>
      </c>
      <c r="D46" s="5" t="s">
        <v>18</v>
      </c>
      <c r="E46" s="6">
        <v>165950</v>
      </c>
      <c r="F46" s="6"/>
    </row>
    <row r="47" spans="1:6" x14ac:dyDescent="0.3">
      <c r="A47" s="5" t="s">
        <v>15</v>
      </c>
      <c r="B47" s="6">
        <v>138420</v>
      </c>
      <c r="D47" s="5" t="s">
        <v>8</v>
      </c>
      <c r="E47" s="6">
        <v>166600</v>
      </c>
    </row>
    <row r="48" spans="1:6" x14ac:dyDescent="0.3">
      <c r="A48" s="5" t="s">
        <v>11</v>
      </c>
      <c r="B48" s="6">
        <v>105990</v>
      </c>
      <c r="D48" s="5" t="s">
        <v>25</v>
      </c>
      <c r="E48" s="6">
        <v>881640</v>
      </c>
    </row>
    <row r="49" spans="1:2" x14ac:dyDescent="0.3">
      <c r="A49" s="5" t="s">
        <v>25</v>
      </c>
      <c r="B49" s="6">
        <v>372970</v>
      </c>
    </row>
  </sheetData>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8078-0EA9-4E95-A7AC-681A6B66E8A6}">
  <dimension ref="S9"/>
  <sheetViews>
    <sheetView tabSelected="1" zoomScale="98" zoomScaleNormal="98" workbookViewId="0"/>
  </sheetViews>
  <sheetFormatPr defaultRowHeight="14.4" x14ac:dyDescent="0.3"/>
  <sheetData>
    <row r="9" spans="19:19" x14ac:dyDescent="0.3">
      <c r="S9" t="s">
        <v>39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72CF-5746-4265-B740-DFFE40B5C6A5}">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F72A-3507-40F2-B00D-59B32CE1A03E}">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97DE-58AE-4C86-B0FA-29B47D5C53D6}">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Pivot tables</vt:lpstr>
      <vt:lpstr>Dashboard</vt:lpstr>
      <vt:lpstr>Product</vt:lpstr>
      <vt:lpstr>Salesman</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komalwarang1@outlook.com</cp:lastModifiedBy>
  <dcterms:created xsi:type="dcterms:W3CDTF">2026-08-11T10:49:15Z</dcterms:created>
  <dcterms:modified xsi:type="dcterms:W3CDTF">2026-08-12T15:37:48Z</dcterms:modified>
</cp:coreProperties>
</file>